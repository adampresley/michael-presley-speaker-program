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Chart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<sst xmlns="http://schemas.openxmlformats.org/spreadsheetml/2006/main" count="444" uniqueCount="314">
  <si>
    <t xml:space="preserve">Responce Graph Calculations</t>
  </si>
  <si>
    <t xml:space="preserve">SPEAKER ENCLOSURE CALCULATIONS</t>
  </si>
  <si>
    <t xml:space="preserve">S P E A K E R   C A L C   H E L P         </t>
  </si>
  <si>
    <t xml:space="preserve">  ENCLOSURE CALCULATOR</t>
  </si>
  <si>
    <t xml:space="preserve">Closed Box Data</t>
  </si>
  <si>
    <t xml:space="preserve">Ported Box Data</t>
  </si>
  <si>
    <t xml:space="preserve">MEASURED</t>
  </si>
  <si>
    <t xml:space="preserve">A =</t>
  </si>
  <si>
    <t xml:space="preserve">Pg 1</t>
  </si>
  <si>
    <t xml:space="preserve">B =</t>
  </si>
  <si>
    <t xml:space="preserve">Cust:</t>
  </si>
  <si>
    <t xml:space="preserve">AnyBody</t>
  </si>
  <si>
    <t xml:space="preserve">Date:</t>
  </si>
  <si>
    <t xml:space="preserve">SpeakerCalc is designed to aide in the enclosure</t>
  </si>
  <si>
    <t xml:space="preserve">Vas =</t>
  </si>
  <si>
    <t xml:space="preserve"> cubic feet</t>
  </si>
  <si>
    <t xml:space="preserve"> C =</t>
  </si>
  <si>
    <t xml:space="preserve">calculations for woofers. Press PgUp, PgDn, or ESC.</t>
  </si>
  <si>
    <t xml:space="preserve">Fs =</t>
  </si>
  <si>
    <t xml:space="preserve"> Hertz</t>
  </si>
  <si>
    <t xml:space="preserve">D =</t>
  </si>
  <si>
    <t xml:space="preserve">Model:</t>
  </si>
  <si>
    <t xml:space="preserve"> </t>
  </si>
  <si>
    <t xml:space="preserve">Qt =</t>
  </si>
  <si>
    <t xml:space="preserve"> Total Q</t>
  </si>
  <si>
    <t xml:space="preserve">Mfg:</t>
  </si>
  <si>
    <t xml:space="preserve">Definitions:</t>
  </si>
  <si>
    <t xml:space="preserve">frequency</t>
  </si>
  <si>
    <t xml:space="preserve">responce</t>
  </si>
  <si>
    <t xml:space="preserve">CALCULATED</t>
  </si>
  <si>
    <t xml:space="preserve">Make Sure Your Printer Is On Line!!!</t>
  </si>
  <si>
    <t xml:space="preserve">VAS: The cubic volume of air which has the same compliance</t>
  </si>
  <si>
    <t xml:space="preserve">S P E C I F I C A T I O N S</t>
  </si>
  <si>
    <t xml:space="preserve">     for the cone as the speakers suspension. </t>
  </si>
  <si>
    <t xml:space="preserve">                    INFINITE</t>
  </si>
  <si>
    <t xml:space="preserve">PORTED </t>
  </si>
  <si>
    <t xml:space="preserve">ft^3            Cone Diameter:</t>
  </si>
  <si>
    <t xml:space="preserve">inches</t>
  </si>
  <si>
    <t xml:space="preserve">FS: Free air resonance of the cone determined by the mass</t>
  </si>
  <si>
    <t xml:space="preserve">Hz</t>
  </si>
  <si>
    <t xml:space="preserve">    of the cone and the compliance of its suspension.</t>
  </si>
  <si>
    <t xml:space="preserve">Qtc =</t>
  </si>
  <si>
    <t xml:space="preserve">              V.C. Resistance:</t>
  </si>
  <si>
    <t xml:space="preserve">ohms</t>
  </si>
  <si>
    <t xml:space="preserve">Vb =</t>
  </si>
  <si>
    <t xml:space="preserve">cu. ft.             Vb =</t>
  </si>
  <si>
    <t xml:space="preserve">cu. ft.</t>
  </si>
  <si>
    <t xml:space="preserve">QT: A measurement of the degree of damping of the speaker.</t>
  </si>
  <si>
    <t xml:space="preserve">Sr =</t>
  </si>
  <si>
    <t xml:space="preserve">Hertz               F3 =</t>
  </si>
  <si>
    <t xml:space="preserve">Hertz</t>
  </si>
  <si>
    <t xml:space="preserve">    Q stands for resonance magnification, the tendency of </t>
  </si>
  <si>
    <t xml:space="preserve">F3 =</t>
  </si>
  <si>
    <t xml:space="preserve">Hertz               Fb =</t>
  </si>
  <si>
    <t xml:space="preserve">    the speaker to peak in response at frequency of resonance.</t>
  </si>
  <si>
    <t xml:space="preserve">C A L C U L A T I O N S</t>
  </si>
  <si>
    <t xml:space="preserve">Flowchart of calculations used in vented box design</t>
  </si>
  <si>
    <t xml:space="preserve">Pg 2</t>
  </si>
  <si>
    <t xml:space="preserve">Infinite</t>
  </si>
  <si>
    <t xml:space="preserve">Ported</t>
  </si>
  <si>
    <t xml:space="preserve">Port Calculator</t>
  </si>
  <si>
    <t xml:space="preserve">          *******</t>
  </si>
  <si>
    <t xml:space="preserve">        *         *</t>
  </si>
  <si>
    <t xml:space="preserve">Enclosure volume =</t>
  </si>
  <si>
    <t xml:space="preserve"> = Vb in cubic feet ----&gt;</t>
  </si>
  <si>
    <t xml:space="preserve">in. High</t>
  </si>
  <si>
    <t xml:space="preserve">       *           *</t>
  </si>
  <si>
    <t xml:space="preserve">Enclosure Tuning =</t>
  </si>
  <si>
    <t xml:space="preserve"> = Fb in Hertz</t>
  </si>
  <si>
    <t xml:space="preserve">in. deep</t>
  </si>
  <si>
    <t xml:space="preserve">       *   START   *</t>
  </si>
  <si>
    <t xml:space="preserve">Vent Area (sq in)=</t>
  </si>
  <si>
    <t xml:space="preserve"> = sv in square inches</t>
  </si>
  <si>
    <t xml:space="preserve">Port Length =</t>
  </si>
  <si>
    <t xml:space="preserve">= (sv / (3.7E-4 Vb Fb^2)) - .83 sqr(sv)</t>
  </si>
  <si>
    <t xml:space="preserve">             |</t>
  </si>
  <si>
    <t xml:space="preserve">             v</t>
  </si>
  <si>
    <t xml:space="preserve">     *****************</t>
  </si>
  <si>
    <t xml:space="preserve">BOTH:5,22</t>
  </si>
  <si>
    <t xml:space="preserve">     *               *</t>
  </si>
  <si>
    <t xml:space="preserve">delta Fb =</t>
  </si>
  <si>
    <t xml:space="preserve"> = required change </t>
  </si>
  <si>
    <t xml:space="preserve">     *Vb=15Q^2.87Vas *</t>
  </si>
  <si>
    <t xml:space="preserve">Lv =</t>
  </si>
  <si>
    <t xml:space="preserve"> = length of duct </t>
  </si>
  <si>
    <t xml:space="preserve">Fb =</t>
  </si>
  <si>
    <t xml:space="preserve"> = frequency of box </t>
  </si>
  <si>
    <t xml:space="preserve">Pg 3</t>
  </si>
  <si>
    <t xml:space="preserve">delta Lv =</t>
  </si>
  <si>
    <t xml:space="preserve">   inches</t>
  </si>
  <si>
    <t xml:space="preserve"> Speaker diameter =</t>
  </si>
  <si>
    <t xml:space="preserve">            .*.</t>
  </si>
  <si>
    <t xml:space="preserve">          .*   *.                              ***********</t>
  </si>
  <si>
    <t xml:space="preserve">        .*       *.                            *         *</t>
  </si>
  <si>
    <t xml:space="preserve">      .*  Is Box   *.  NO                      * Change  *</t>
  </si>
  <si>
    <t xml:space="preserve">     *. Size O.K.?  .*------------------------&gt;*   Box   *&lt;------.</t>
  </si>
  <si>
    <t xml:space="preserve">       *.         .*                   ^       *  Size   *       |</t>
  </si>
  <si>
    <t xml:space="preserve">         *.     .*                     |       *         *       |</t>
  </si>
  <si>
    <t xml:space="preserve">           *. .*                       |       ***********       |</t>
  </si>
  <si>
    <t xml:space="preserve">             *                         |            |            |</t>
  </si>
  <si>
    <t xml:space="preserve">             |                         |            |            |</t>
  </si>
  <si>
    <t xml:space="preserve">             |YES                      |            |            |</t>
  </si>
  <si>
    <t xml:space="preserve">             |                         |            |       Pg 4 |</t>
  </si>
  <si>
    <t xml:space="preserve">             v                         |            v            |</t>
  </si>
  <si>
    <t xml:space="preserve">     *****************                 | *********************** |</t>
  </si>
  <si>
    <t xml:space="preserve">     *               *                 | *                     * |</t>
  </si>
  <si>
    <t xml:space="preserve">     *f3=.26Q^-1.4fs *                 | * f3=sqr((Vas/Vb)fs)  * |</t>
  </si>
  <si>
    <t xml:space="preserve">File name:</t>
  </si>
  <si>
    <t xml:space="preserve">speaker</t>
  </si>
  <si>
    <t xml:space="preserve">            .*.                        |           .*.           |</t>
  </si>
  <si>
    <t xml:space="preserve">S P E A K E R  C A L C U L A T I O N S  </t>
  </si>
  <si>
    <t xml:space="preserve">          .*   *.                      |         .*   *.         |</t>
  </si>
  <si>
    <t xml:space="preserve">        .*       *.                    |       .*       *.       |</t>
  </si>
  <si>
    <t xml:space="preserve">      .*           *.  NO              |     .*           *. NO  |</t>
  </si>
  <si>
    <t xml:space="preserve">     *. Is f3 O.K.? .*-----------------'    *. Is f3 O.K.? .*----'</t>
  </si>
  <si>
    <t xml:space="preserve">            Michael Presley</t>
  </si>
  <si>
    <t xml:space="preserve">       *.         .*                          *.         .*</t>
  </si>
  <si>
    <t xml:space="preserve">         *.     .*                              *.     .*</t>
  </si>
  <si>
    <t xml:space="preserve">            April 20, 1991</t>
  </si>
  <si>
    <t xml:space="preserve">           *. .*                                  *. .*</t>
  </si>
  <si>
    <t xml:space="preserve">Pg 5</t>
  </si>
  <si>
    <t xml:space="preserve">               vs. 1.1 </t>
  </si>
  <si>
    <t xml:space="preserve">             *                                      *</t>
  </si>
  <si>
    <t xml:space="preserve">            for AseasyAs 5</t>
  </si>
  <si>
    <t xml:space="preserve">             |                                      |</t>
  </si>
  <si>
    <t xml:space="preserve">             |YES                                   |YES</t>
  </si>
  <si>
    <t xml:space="preserve">             v                                      v</t>
  </si>
  <si>
    <t xml:space="preserve">  ***********************                ***********************</t>
  </si>
  <si>
    <t xml:space="preserve">  *                     *                *                     *</t>
  </si>
  <si>
    <t xml:space="preserve">  *    fb=.42Q^-.9fs    *                *   fb=Vas/Vb^.32fs   *</t>
  </si>
  <si>
    <t xml:space="preserve">  *  Design is optimum  *                *     Hump=20log      *</t>
  </si>
  <si>
    <t xml:space="preserve">  *   No hump or dip    *                * [2.6Q(Vas/Vb)^.35]  *</t>
  </si>
  <si>
    <t xml:space="preserve">             `------------------------&gt;-&lt;-----------'</t>
  </si>
  <si>
    <t xml:space="preserve">                                       |</t>
  </si>
  <si>
    <t xml:space="preserve">Pg 6</t>
  </si>
  <si>
    <t xml:space="preserve">                                       v</t>
  </si>
  <si>
    <t xml:space="preserve">                               *****************</t>
  </si>
  <si>
    <t xml:space="preserve">                             *                   *</t>
  </si>
  <si>
    <t xml:space="preserve">                            *                     *</t>
  </si>
  <si>
    <t xml:space="preserve">                            *   DESIGN COMPLETE   *</t>
  </si>
  <si>
    <t xml:space="preserve">Pg 7</t>
  </si>
  <si>
    <t xml:space="preserve">Pg 8</t>
  </si>
  <si>
    <t xml:space="preserve">MACROS</t>
  </si>
  <si>
    <t xml:space="preserve">_</t>
  </si>
  <si>
    <t xml:space="preserve">\E</t>
  </si>
  <si>
    <t xml:space="preserve">\R</t>
  </si>
  <si>
    <t xml:space="preserve">find and replace</t>
  </si>
  <si>
    <t xml:space="preserve">Name a range of cells</t>
  </si>
  <si>
    <t xml:space="preserve">/str{?}~{?}~</t>
  </si>
  <si>
    <t xml:space="preserve">\N</t>
  </si>
  <si>
    <t xml:space="preserve">/rnc{?}~~</t>
  </si>
  <si>
    <t xml:space="preserve">\s</t>
  </si>
  <si>
    <t xml:space="preserve">Save file under same name</t>
  </si>
  <si>
    <t xml:space="preserve">/fsspkr_aea~r</t>
  </si>
  <si>
    <t xml:space="preserve">Goto system</t>
  </si>
  <si>
    <t xml:space="preserve">\Q</t>
  </si>
  <si>
    <t xml:space="preserve">/us~</t>
  </si>
  <si>
    <t xml:space="preserve">\m</t>
  </si>
  <si>
    <t xml:space="preserve">macro record</t>
  </si>
  <si>
    <t xml:space="preserve">/smc</t>
  </si>
  <si>
    <t xml:space="preserve">Goto Macro listing</t>
  </si>
  <si>
    <t xml:space="preserve">\g</t>
  </si>
  <si>
    <t xml:space="preserve">{goto}menu~</t>
  </si>
  <si>
    <t xml:space="preserve">\f</t>
  </si>
  <si>
    <t xml:space="preserve">find text</t>
  </si>
  <si>
    <t xml:space="preserve">/stf{?}~</t>
  </si>
  <si>
    <t xml:space="preserve">** Control Macro **</t>
  </si>
  <si>
    <t xml:space="preserve">=</t>
  </si>
  <si>
    <t xml:space="preserve">|</t>
  </si>
  <si>
    <t xml:space="preserve">\0</t>
  </si>
  <si>
    <t xml:space="preserve">{BORDEROFF}{MENUOFF}{SCRNOFF}{CLRSCR}/SGRM{home}{pgdn 4}{goto}INTRO~{GOTO}A:C70~</t>
  </si>
  <si>
    <t xml:space="preserve">\T</t>
  </si>
  <si>
    <t xml:space="preserve">{SCRNON}{UPDATE}{MENUJUMP menu}</t>
  </si>
  <si>
    <t xml:space="preserve">menu</t>
  </si>
  <si>
    <t xml:space="preserve">Data Entry</t>
  </si>
  <si>
    <t xml:space="preserve">Customize</t>
  </si>
  <si>
    <t xml:space="preserve">Vent</t>
  </si>
  <si>
    <t xml:space="preserve">Graph</t>
  </si>
  <si>
    <t xml:space="preserve">Report</t>
  </si>
  <si>
    <t xml:space="preserve">Help</t>
  </si>
  <si>
    <t xml:space="preserve">Quit</t>
  </si>
  <si>
    <t xml:space="preserve">Enter speaker parameters and calculate optimum enclosure size</t>
  </si>
  <si>
    <t xml:space="preserve">Change enclosure volume</t>
  </si>
  <si>
    <t xml:space="preserve">Vent calculations</t>
  </si>
  <si>
    <t xml:space="preserve">View predicted responce graphs</t>
  </si>
  <si>
    <t xml:space="preserve">Define report</t>
  </si>
  <si>
    <t xml:space="preserve">Definitions and general help</t>
  </si>
  <si>
    <t xml:space="preserve">{jump dataentry}</t>
  </si>
  <si>
    <t xml:space="preserve">{menujump custom}</t>
  </si>
  <si>
    <t xml:space="preserve">{menujump vent}</t>
  </si>
  <si>
    <t xml:space="preserve">{menujump graph}</t>
  </si>
  <si>
    <t xml:space="preserve">{MENUjump reportMENU}</t>
  </si>
  <si>
    <t xml:space="preserve">{jump help}</t>
  </si>
  <si>
    <t xml:space="preserve">{menujump quit}</t>
  </si>
  <si>
    <t xml:space="preserve">{menujump menu}</t>
  </si>
  <si>
    <t xml:space="preserve">dataentry</t>
  </si>
  <si>
    <t xml:space="preserve">{goto}data~{goto}b6~</t>
  </si>
  <si>
    <t xml:space="preserve">{invalue "Enter speaker Vas: ",ans}{CALL test}{d}</t>
  </si>
  <si>
    <t xml:space="preserve">{invalue "Enter speaker Fs: ",ans}{CALL test}{d}</t>
  </si>
  <si>
    <t xml:space="preserve">{invalue "Enter speaker Q: ",ans}{CALL test}</t>
  </si>
  <si>
    <t xml:space="preserve">{Let b16,$B$6/((1/$B$8)^2-1)}</t>
  </si>
  <si>
    <t xml:space="preserve">{Let b17,$B$7*(1/$B$8)}</t>
  </si>
  <si>
    <t xml:space="preserve">{Let b18,$B$17*0.79}</t>
  </si>
  <si>
    <t xml:space="preserve">{Let d16,15*$B$8^2.87*$B$6}</t>
  </si>
  <si>
    <t xml:space="preserve">{Let d17,0.26*$B$8^-1.4*$B$7}</t>
  </si>
  <si>
    <t xml:space="preserve">{Let d18,0.42*$B$8^-0.9*$B$7}</t>
  </si>
  <si>
    <t xml:space="preserve">{Let b15,1}</t>
  </si>
  <si>
    <t xml:space="preserve">{GOTO C3}{calc}</t>
  </si>
  <si>
    <t xml:space="preserve">TEST</t>
  </si>
  <si>
    <t xml:space="preserve">{if @CELL("TYPE",ans)=4}{RET}</t>
  </si>
  <si>
    <t xml:space="preserve">/cans~~{RET}</t>
  </si>
  <si>
    <t xml:space="preserve">ANS</t>
  </si>
  <si>
    <t xml:space="preserve">CUSTOM</t>
  </si>
  <si>
    <t xml:space="preserve">Main Menu</t>
  </si>
  <si>
    <t xml:space="preserve">Change volume of tuned port enclosure </t>
  </si>
  <si>
    <t xml:space="preserve">Change volume (and Qtc) of infinite enclosure</t>
  </si>
  <si>
    <t xml:space="preserve">Return to main menu</t>
  </si>
  <si>
    <t xml:space="preserve">{jump port}</t>
  </si>
  <si>
    <t xml:space="preserve">{jump inf}</t>
  </si>
  <si>
    <t xml:space="preserve">PORT</t>
  </si>
  <si>
    <t xml:space="preserve">{goto}data~{goto}d16~</t>
  </si>
  <si>
    <t xml:space="preserve">{invalue "Enter new enclosure volume: ",ans}{CALL test}</t>
  </si>
  <si>
    <t xml:space="preserve">{Let d17,@sqrt(b6/d16)*b7}</t>
  </si>
  <si>
    <t xml:space="preserve">{Let d18,(b6/d16)^.32*b7}</t>
  </si>
  <si>
    <t xml:space="preserve">{calc}</t>
  </si>
  <si>
    <t xml:space="preserve">INF</t>
  </si>
  <si>
    <t xml:space="preserve">{goto}data~{goto}b16~</t>
  </si>
  <si>
    <t xml:space="preserve">A</t>
  </si>
  <si>
    <t xml:space="preserve">{Let c12,b6/b16}</t>
  </si>
  <si>
    <t xml:space="preserve">Sr</t>
  </si>
  <si>
    <t xml:space="preserve">{Let b17,b7*@sqrt(c12+1)}</t>
  </si>
  <si>
    <t xml:space="preserve">Qtc</t>
  </si>
  <si>
    <t xml:space="preserve">{Let b15,(b17*b8)/b7}</t>
  </si>
  <si>
    <t xml:space="preserve">F3</t>
  </si>
  <si>
    <t xml:space="preserve">{Let b18,b17*@sqrt(((1/b15^2-2)+@sqrt((1/b15^2-2)^2+4))/2)}</t>
  </si>
  <si>
    <t xml:space="preserve">VENT</t>
  </si>
  <si>
    <t xml:space="preserve">Vent Area</t>
  </si>
  <si>
    <t xml:space="preserve">Tuning</t>
  </si>
  <si>
    <t xml:space="preserve">Change vent area</t>
  </si>
  <si>
    <t xml:space="preserve">Correct vent tuning</t>
  </si>
  <si>
    <t xml:space="preserve">{jump area}</t>
  </si>
  <si>
    <t xml:space="preserve">{jump tuning}</t>
  </si>
  <si>
    <t xml:space="preserve">AREA</t>
  </si>
  <si>
    <t xml:space="preserve">{goto}ventdata~{goto}b40~</t>
  </si>
  <si>
    <t xml:space="preserve">{invalue "Enter effective cone diameter: ",ans}{CALL test}</t>
  </si>
  <si>
    <t xml:space="preserve">{Let b:a79,(3.14*(b40/2)^2)*.25}</t>
  </si>
  <si>
    <t xml:space="preserve">{Let b27,.02*d18*b:a79}</t>
  </si>
  <si>
    <t xml:space="preserve">{goto}b27~</t>
  </si>
  <si>
    <t xml:space="preserve">{invalue "Enter new vent area: ",ans}{CALL test}</t>
  </si>
  <si>
    <t xml:space="preserve">TUNING</t>
  </si>
  <si>
    <t xml:space="preserve">{goto}ventdata~{goto}b34~</t>
  </si>
  <si>
    <t xml:space="preserve">{invalue "Enter the desired change in tuning: ",ans}{CALL test}{d}</t>
  </si>
  <si>
    <t xml:space="preserve">{invalue "Enter the present length of the vent: ",ans}{CALL test}{d}</t>
  </si>
  <si>
    <t xml:space="preserve">{invalue "Enter the present tuned frequency of the enclosure: ",ans}{CALL test}</t>
  </si>
  <si>
    <t xml:space="preserve">GRAPH</t>
  </si>
  <si>
    <t xml:space="preserve">Both</t>
  </si>
  <si>
    <t xml:space="preserve">View predicted responce graph for infinite enclosure</t>
  </si>
  <si>
    <t xml:space="preserve">View predicted responce graph for ported enclosure</t>
  </si>
  <si>
    <t xml:space="preserve">View predicted responce graph for both enclosures</t>
  </si>
  <si>
    <t xml:space="preserve">{jump graph1}</t>
  </si>
  <si>
    <t xml:space="preserve">{jump graph2}</t>
  </si>
  <si>
    <t xml:space="preserve">{jump graph3}</t>
  </si>
  <si>
    <t xml:space="preserve">GRAPH1</t>
  </si>
  <si>
    <t xml:space="preserve">/gnuclosed~q{GRAPH}</t>
  </si>
  <si>
    <t xml:space="preserve">GRAPH2</t>
  </si>
  <si>
    <t xml:space="preserve">/gnuported~q{GRAPH}</t>
  </si>
  <si>
    <t xml:space="preserve">GRAPH3</t>
  </si>
  <si>
    <t xml:space="preserve">/gnuboth~q{GRAPH}</t>
  </si>
  <si>
    <t xml:space="preserve">REPORTMENU</t>
  </si>
  <si>
    <t xml:space="preserve">Print</t>
  </si>
  <si>
    <t xml:space="preserve">Setup</t>
  </si>
  <si>
    <t xml:space="preserve">Print a summary report</t>
  </si>
  <si>
    <t xml:space="preserve">Select printer</t>
  </si>
  <si>
    <t xml:space="preserve">{jump reportprn}</t>
  </si>
  <si>
    <t xml:space="preserve">/uip{?}~S{ESC 4}{MENUJUMP MENU}</t>
  </si>
  <si>
    <t xml:space="preserve">REPORTPRN</t>
  </si>
  <si>
    <t xml:space="preserve">{SCRNOFF}{home}{goto}report_OUT~{goto}A:AB5~{update}{SCRNON}</t>
  </si>
  <si>
    <t xml:space="preserve">{getlabel "Enter the customer name: ",ans1}{CALL test1}{d 2}</t>
  </si>
  <si>
    <t xml:space="preserve">{getlabel "Enter the model number of the speaker: ",ans1}{CALL test1}{d}</t>
  </si>
  <si>
    <t xml:space="preserve">{getlabel "Enter Manufactor of speaker: ",ans1}{CALL test1}{goto}A:AD13~</t>
  </si>
  <si>
    <t xml:space="preserve">{getlabel "Enter the cone diameter of the speaker: ",ans1}{CALL test1}{d 2}</t>
  </si>
  <si>
    <t xml:space="preserve">{getlabel "Enter the voice coil impeadence of the speaker: ",ans1}{CALL test1}</t>
  </si>
  <si>
    <t xml:space="preserve">{pgup}{goto}a:aj1~{goto}a:ai10~</t>
  </si>
  <si>
    <t xml:space="preserve">{LET ans2,""}</t>
  </si>
  <si>
    <t xml:space="preserve">{getlabel "Press &lt;C&gt;ontinue or any other key to quit: ",ans2}</t>
  </si>
  <si>
    <t xml:space="preserve">{IF ans2="c"}/pgg{esc 4}</t>
  </si>
  <si>
    <t xml:space="preserve">{SCRNOFF}</t>
  </si>
  <si>
    <t xml:space="preserve">{home}{pgdn 4}{goto}intro~{goto}a:c70~{UPDATE}{menujump menu}</t>
  </si>
  <si>
    <t xml:space="preserve">TEST1</t>
  </si>
  <si>
    <t xml:space="preserve">{if ans1=""}{return}</t>
  </si>
  <si>
    <t xml:space="preserve">/cans1~~{return}</t>
  </si>
  <si>
    <t xml:space="preserve">ANS1</t>
  </si>
  <si>
    <t xml:space="preserve">ANS2</t>
  </si>
  <si>
    <t xml:space="preserve">HELP</t>
  </si>
  <si>
    <t xml:space="preserve">{SCRNOFF}{home}{goto}a:am1~{goto}a:ak4~/sbh{update}{SCRNON}</t>
  </si>
  <si>
    <t xml:space="preserve">{let NumPages,6}{let PageNum,1}</t>
  </si>
  <si>
    <t xml:space="preserve">LOOP</t>
  </si>
  <si>
    <t xml:space="preserve">{INKEY ans2}</t>
  </si>
  <si>
    <t xml:space="preserve">{if ans2=""}{if PageNum&lt;NumPages}{pgdn}{let PageNum,PageNum+1}</t>
  </si>
  <si>
    <t xml:space="preserve">{if ans2=""}{if PageNum&gt;1}{pgup}{let PageNum,PageNum-1}</t>
  </si>
  <si>
    <t xml:space="preserve">{if ans2=""}/sbc{SCRNOFF}{home}{pgdn 4}{goto}intro~{goto}a:c70~{SCRNON}{UPDATE}{menujump menu}</t>
  </si>
  <si>
    <t xml:space="preserve">{jump loop}</t>
  </si>
  <si>
    <t xml:space="preserve">PageNum</t>
  </si>
  <si>
    <t xml:space="preserve">NumPages</t>
  </si>
  <si>
    <t xml:space="preserve">QUIT</t>
  </si>
  <si>
    <t xml:space="preserve">Edit Macros</t>
  </si>
  <si>
    <t xml:space="preserve">New worksheet</t>
  </si>
  <si>
    <t xml:space="preserve">Dos</t>
  </si>
  <si>
    <t xml:space="preserve">End Macro Control</t>
  </si>
  <si>
    <t xml:space="preserve">Clear worksheet</t>
  </si>
  <si>
    <t xml:space="preserve">Return to DOS</t>
  </si>
  <si>
    <t xml:space="preserve">{SCRNON}{MENUON}{BORDERON}{UPDATE}{goto}{esc}{?}~</t>
  </si>
  <si>
    <t xml:space="preserve">{BORDERON}/fny</t>
  </si>
  <si>
    <t xml:space="preserve">/ey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</si>
</sst>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"/>
    <numFmt numFmtId="166" formatCode="0.00"/>
    <numFmt numFmtId="167" formatCode="hh:mm"/>
    <numFmt numFmtId="168" formatCode="d\ mmmm\ 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sz val="10"/>
      <color rgb="FF000000"/>
      <name val="Arial"/>
      <family val="2"/>
      <charset val="1"/>
    </font>
    <font>
      <sz val="13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lang="en-US" sz="1300" spc="-1" strike="noStrike">
                <a:solidFill>
                  <a:srgbClr val="000000"/>
                </a:solidFill>
                <a:latin typeface="Arial"/>
              </a:rPr>
              <a:t>Predicted Response Graph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closed_box</c:f>
              <c:strCache>
                <c:ptCount val="1"/>
                <c:pt idx="0">
                  <c:v>closed_box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Sheet1!$F$12:$F$38</c:f>
              <c:numCache>
                <c:formatCode>General</c:formatCode>
                <c:ptCount val="2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135</c:v>
                </c:pt>
                <c:pt idx="24">
                  <c:v>140</c:v>
                </c:pt>
                <c:pt idx="25">
                  <c:v>145</c:v>
                </c:pt>
                <c:pt idx="26">
                  <c:v>150</c:v>
                </c:pt>
              </c:numCache>
            </c:numRef>
          </c:xVal>
          <c:yVal>
            <c:numRef>
              <c:f>Sheet1!$H$12:$H$38</c:f>
              <c:numCache>
                <c:formatCode>General</c:formatCode>
                <c:ptCount val="27"/>
                <c:pt idx="0">
                  <c:v>-26.1225492907585</c:v>
                </c:pt>
                <c:pt idx="1">
                  <c:v>-22.0657920884273</c:v>
                </c:pt>
                <c:pt idx="2">
                  <c:v>-18.6751819484493</c:v>
                </c:pt>
                <c:pt idx="3">
                  <c:v>-15.7316117138084</c:v>
                </c:pt>
                <c:pt idx="4">
                  <c:v>-13.1049010073565</c:v>
                </c:pt>
                <c:pt idx="5">
                  <c:v>-10.7126578638541</c:v>
                </c:pt>
                <c:pt idx="6">
                  <c:v>-8.50163128515535</c:v>
                </c:pt>
                <c:pt idx="7">
                  <c:v>-6.43898122215701</c:v>
                </c:pt>
                <c:pt idx="8">
                  <c:v>-4.5086610683871</c:v>
                </c:pt>
                <c:pt idx="9">
                  <c:v>-2.7106798582092</c:v>
                </c:pt>
                <c:pt idx="10">
                  <c:v>-1.0615212158947</c:v>
                </c:pt>
                <c:pt idx="11">
                  <c:v>0.406703164917701</c:v>
                </c:pt>
                <c:pt idx="12">
                  <c:v>1.6518634338642</c:v>
                </c:pt>
                <c:pt idx="13">
                  <c:v>2.63481382867617</c:v>
                </c:pt>
                <c:pt idx="14">
                  <c:v>3.33687696871871</c:v>
                </c:pt>
                <c:pt idx="15">
                  <c:v>3.77155447405401</c:v>
                </c:pt>
                <c:pt idx="16">
                  <c:v>3.98144448118182</c:v>
                </c:pt>
                <c:pt idx="17">
                  <c:v>4.02318965384912</c:v>
                </c:pt>
                <c:pt idx="18">
                  <c:v>3.95169285564282</c:v>
                </c:pt>
                <c:pt idx="19">
                  <c:v>3.81121272918819</c:v>
                </c:pt>
                <c:pt idx="20">
                  <c:v>3.63343872303332</c:v>
                </c:pt>
                <c:pt idx="21">
                  <c:v>3.43931326258243</c:v>
                </c:pt>
                <c:pt idx="22">
                  <c:v>3.24187555260777</c:v>
                </c:pt>
                <c:pt idx="23">
                  <c:v>3.04881672769035</c:v>
                </c:pt>
                <c:pt idx="24">
                  <c:v>2.8643851459795</c:v>
                </c:pt>
                <c:pt idx="25">
                  <c:v>2.69068461060944</c:v>
                </c:pt>
                <c:pt idx="26">
                  <c:v>2.528520084164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ported_box</c:f>
              <c:strCache>
                <c:ptCount val="1"/>
                <c:pt idx="0">
                  <c:v>ported_box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Sheet1!$F$12:$F$38</c:f>
              <c:numCache>
                <c:formatCode>General</c:formatCode>
                <c:ptCount val="2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135</c:v>
                </c:pt>
                <c:pt idx="24">
                  <c:v>140</c:v>
                </c:pt>
                <c:pt idx="25">
                  <c:v>145</c:v>
                </c:pt>
                <c:pt idx="26">
                  <c:v>150</c:v>
                </c:pt>
              </c:numCache>
            </c:numRef>
          </c:xVal>
          <c:yVal>
            <c:numRef>
              <c:f>Sheet1!$M$12:$M$38</c:f>
              <c:numCache>
                <c:formatCode>General</c:formatCode>
                <c:ptCount val="27"/>
                <c:pt idx="0">
                  <c:v>-23.672385045209</c:v>
                </c:pt>
                <c:pt idx="1">
                  <c:v>-12.7932380578588</c:v>
                </c:pt>
                <c:pt idx="2">
                  <c:v>-3.01082636714078</c:v>
                </c:pt>
                <c:pt idx="3">
                  <c:v>0.719499806589582</c:v>
                </c:pt>
                <c:pt idx="4">
                  <c:v>0.902949406706689</c:v>
                </c:pt>
                <c:pt idx="5">
                  <c:v>1.33705063725003</c:v>
                </c:pt>
                <c:pt idx="6">
                  <c:v>2.01695073359466</c:v>
                </c:pt>
                <c:pt idx="7">
                  <c:v>2.68108081196729</c:v>
                </c:pt>
                <c:pt idx="8">
                  <c:v>3.1800284988514</c:v>
                </c:pt>
                <c:pt idx="9">
                  <c:v>3.4650439833929</c:v>
                </c:pt>
                <c:pt idx="10">
                  <c:v>3.55597809215728</c:v>
                </c:pt>
                <c:pt idx="11">
                  <c:v>3.50406163800836</c:v>
                </c:pt>
                <c:pt idx="12">
                  <c:v>3.36282283398424</c:v>
                </c:pt>
                <c:pt idx="13">
                  <c:v>3.1743029607118</c:v>
                </c:pt>
                <c:pt idx="14">
                  <c:v>2.96676745746755</c:v>
                </c:pt>
                <c:pt idx="15">
                  <c:v>2.75736096864406</c:v>
                </c:pt>
                <c:pt idx="16">
                  <c:v>2.55561532115032</c:v>
                </c:pt>
                <c:pt idx="17">
                  <c:v>2.36629396697525</c:v>
                </c:pt>
                <c:pt idx="18">
                  <c:v>2.1913379401594</c:v>
                </c:pt>
                <c:pt idx="19">
                  <c:v>2.03109342723967</c:v>
                </c:pt>
                <c:pt idx="20">
                  <c:v>1.88505230991881</c:v>
                </c:pt>
                <c:pt idx="21">
                  <c:v>1.75228617797169</c:v>
                </c:pt>
                <c:pt idx="22">
                  <c:v>1.63169455018331</c:v>
                </c:pt>
                <c:pt idx="23">
                  <c:v>1.52214281112343</c:v>
                </c:pt>
                <c:pt idx="24">
                  <c:v>1.42253567900808</c:v>
                </c:pt>
                <c:pt idx="25">
                  <c:v>1.33185279653207</c:v>
                </c:pt>
                <c:pt idx="26">
                  <c:v>1.24916414239032</c:v>
                </c:pt>
              </c:numCache>
            </c:numRef>
          </c:yVal>
          <c:smooth val="0"/>
        </c:ser>
        <c:axId val="46880553"/>
        <c:axId val="29582415"/>
      </c:scatterChart>
      <c:valAx>
        <c:axId val="46880553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582415"/>
        <c:crossesAt val="0"/>
        <c:crossBetween val="midCat"/>
      </c:valAx>
      <c:valAx>
        <c:axId val="2958241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dB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880553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b="0" lang="en-US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lang="en-US" sz="1300" spc="-1" strike="noStrike">
                <a:solidFill>
                  <a:srgbClr val="000000"/>
                </a:solidFill>
                <a:latin typeface="Arial"/>
              </a:rPr>
              <a:t>Predicted Response Graph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closed_box</c:f>
              <c:strCache>
                <c:ptCount val="1"/>
                <c:pt idx="0">
                  <c:v>closed_box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Sheet1!$F$12:$F$38</c:f>
              <c:numCache>
                <c:formatCode>General</c:formatCode>
                <c:ptCount val="2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135</c:v>
                </c:pt>
                <c:pt idx="24">
                  <c:v>140</c:v>
                </c:pt>
                <c:pt idx="25">
                  <c:v>145</c:v>
                </c:pt>
                <c:pt idx="26">
                  <c:v>150</c:v>
                </c:pt>
              </c:numCache>
            </c:numRef>
          </c:xVal>
          <c:yVal>
            <c:numRef>
              <c:f>Sheet1!$H$12:$H$38</c:f>
              <c:numCache>
                <c:formatCode>General</c:formatCode>
                <c:ptCount val="27"/>
                <c:pt idx="0">
                  <c:v>-26.1225492907585</c:v>
                </c:pt>
                <c:pt idx="1">
                  <c:v>-22.0657920884273</c:v>
                </c:pt>
                <c:pt idx="2">
                  <c:v>-18.6751819484493</c:v>
                </c:pt>
                <c:pt idx="3">
                  <c:v>-15.7316117138084</c:v>
                </c:pt>
                <c:pt idx="4">
                  <c:v>-13.1049010073565</c:v>
                </c:pt>
                <c:pt idx="5">
                  <c:v>-10.7126578638541</c:v>
                </c:pt>
                <c:pt idx="6">
                  <c:v>-8.50163128515535</c:v>
                </c:pt>
                <c:pt idx="7">
                  <c:v>-6.43898122215701</c:v>
                </c:pt>
                <c:pt idx="8">
                  <c:v>-4.5086610683871</c:v>
                </c:pt>
                <c:pt idx="9">
                  <c:v>-2.7106798582092</c:v>
                </c:pt>
                <c:pt idx="10">
                  <c:v>-1.0615212158947</c:v>
                </c:pt>
                <c:pt idx="11">
                  <c:v>0.406703164917701</c:v>
                </c:pt>
                <c:pt idx="12">
                  <c:v>1.6518634338642</c:v>
                </c:pt>
                <c:pt idx="13">
                  <c:v>2.63481382867617</c:v>
                </c:pt>
                <c:pt idx="14">
                  <c:v>3.33687696871871</c:v>
                </c:pt>
                <c:pt idx="15">
                  <c:v>3.77155447405401</c:v>
                </c:pt>
                <c:pt idx="16">
                  <c:v>3.98144448118182</c:v>
                </c:pt>
                <c:pt idx="17">
                  <c:v>4.02318965384912</c:v>
                </c:pt>
                <c:pt idx="18">
                  <c:v>3.95169285564282</c:v>
                </c:pt>
                <c:pt idx="19">
                  <c:v>3.81121272918819</c:v>
                </c:pt>
                <c:pt idx="20">
                  <c:v>3.63343872303332</c:v>
                </c:pt>
                <c:pt idx="21">
                  <c:v>3.43931326258243</c:v>
                </c:pt>
                <c:pt idx="22">
                  <c:v>3.24187555260777</c:v>
                </c:pt>
                <c:pt idx="23">
                  <c:v>3.04881672769035</c:v>
                </c:pt>
                <c:pt idx="24">
                  <c:v>2.8643851459795</c:v>
                </c:pt>
                <c:pt idx="25">
                  <c:v>2.69068461060944</c:v>
                </c:pt>
                <c:pt idx="26">
                  <c:v>2.528520084164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ported_box</c:f>
              <c:strCache>
                <c:ptCount val="1"/>
                <c:pt idx="0">
                  <c:v>ported_box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Sheet1!$F$12:$F$38</c:f>
              <c:numCache>
                <c:formatCode>General</c:formatCode>
                <c:ptCount val="2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135</c:v>
                </c:pt>
                <c:pt idx="24">
                  <c:v>140</c:v>
                </c:pt>
                <c:pt idx="25">
                  <c:v>145</c:v>
                </c:pt>
                <c:pt idx="26">
                  <c:v>150</c:v>
                </c:pt>
              </c:numCache>
            </c:numRef>
          </c:xVal>
          <c:yVal>
            <c:numRef>
              <c:f>Sheet1!$M$12:$M$38</c:f>
              <c:numCache>
                <c:formatCode>General</c:formatCode>
                <c:ptCount val="27"/>
                <c:pt idx="0">
                  <c:v>-23.672385045209</c:v>
                </c:pt>
                <c:pt idx="1">
                  <c:v>-12.7932380578588</c:v>
                </c:pt>
                <c:pt idx="2">
                  <c:v>-3.01082636714078</c:v>
                </c:pt>
                <c:pt idx="3">
                  <c:v>0.719499806589582</c:v>
                </c:pt>
                <c:pt idx="4">
                  <c:v>0.902949406706689</c:v>
                </c:pt>
                <c:pt idx="5">
                  <c:v>1.33705063725003</c:v>
                </c:pt>
                <c:pt idx="6">
                  <c:v>2.01695073359466</c:v>
                </c:pt>
                <c:pt idx="7">
                  <c:v>2.68108081196729</c:v>
                </c:pt>
                <c:pt idx="8">
                  <c:v>3.1800284988514</c:v>
                </c:pt>
                <c:pt idx="9">
                  <c:v>3.4650439833929</c:v>
                </c:pt>
                <c:pt idx="10">
                  <c:v>3.55597809215728</c:v>
                </c:pt>
                <c:pt idx="11">
                  <c:v>3.50406163800836</c:v>
                </c:pt>
                <c:pt idx="12">
                  <c:v>3.36282283398424</c:v>
                </c:pt>
                <c:pt idx="13">
                  <c:v>3.1743029607118</c:v>
                </c:pt>
                <c:pt idx="14">
                  <c:v>2.96676745746755</c:v>
                </c:pt>
                <c:pt idx="15">
                  <c:v>2.75736096864406</c:v>
                </c:pt>
                <c:pt idx="16">
                  <c:v>2.55561532115032</c:v>
                </c:pt>
                <c:pt idx="17">
                  <c:v>2.36629396697525</c:v>
                </c:pt>
                <c:pt idx="18">
                  <c:v>2.1913379401594</c:v>
                </c:pt>
                <c:pt idx="19">
                  <c:v>2.03109342723967</c:v>
                </c:pt>
                <c:pt idx="20">
                  <c:v>1.88505230991881</c:v>
                </c:pt>
                <c:pt idx="21">
                  <c:v>1.75228617797169</c:v>
                </c:pt>
                <c:pt idx="22">
                  <c:v>1.63169455018331</c:v>
                </c:pt>
                <c:pt idx="23">
                  <c:v>1.52214281112343</c:v>
                </c:pt>
                <c:pt idx="24">
                  <c:v>1.42253567900808</c:v>
                </c:pt>
                <c:pt idx="25">
                  <c:v>1.33185279653207</c:v>
                </c:pt>
                <c:pt idx="26">
                  <c:v>1.24916414239032</c:v>
                </c:pt>
              </c:numCache>
            </c:numRef>
          </c:yVal>
          <c:smooth val="0"/>
        </c:ser>
        <c:axId val="42853478"/>
        <c:axId val="81925873"/>
      </c:scatterChart>
      <c:valAx>
        <c:axId val="42853478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925873"/>
        <c:crossesAt val="0"/>
        <c:crossBetween val="midCat"/>
      </c:valAx>
      <c:valAx>
        <c:axId val="8192587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dB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853478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b="0" lang="en-US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lang="en-US" sz="1300" spc="-1" strike="noStrike">
                <a:solidFill>
                  <a:srgbClr val="000000"/>
                </a:solidFill>
                <a:latin typeface="Arial"/>
              </a:rPr>
              <a:t>Predicted Response Graph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closed_box</c:f>
              <c:strCache>
                <c:ptCount val="1"/>
                <c:pt idx="0">
                  <c:v>closed_box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Sheet1!$F$12:$F$38</c:f>
              <c:numCache>
                <c:formatCode>General</c:formatCode>
                <c:ptCount val="2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135</c:v>
                </c:pt>
                <c:pt idx="24">
                  <c:v>140</c:v>
                </c:pt>
                <c:pt idx="25">
                  <c:v>145</c:v>
                </c:pt>
                <c:pt idx="26">
                  <c:v>150</c:v>
                </c:pt>
              </c:numCache>
            </c:numRef>
          </c:xVal>
          <c:yVal>
            <c:numRef>
              <c:f>Sheet1!$H$12:$H$38</c:f>
              <c:numCache>
                <c:formatCode>General</c:formatCode>
                <c:ptCount val="27"/>
                <c:pt idx="0">
                  <c:v>-26.1225492907585</c:v>
                </c:pt>
                <c:pt idx="1">
                  <c:v>-22.0657920884273</c:v>
                </c:pt>
                <c:pt idx="2">
                  <c:v>-18.6751819484493</c:v>
                </c:pt>
                <c:pt idx="3">
                  <c:v>-15.7316117138084</c:v>
                </c:pt>
                <c:pt idx="4">
                  <c:v>-13.1049010073565</c:v>
                </c:pt>
                <c:pt idx="5">
                  <c:v>-10.7126578638541</c:v>
                </c:pt>
                <c:pt idx="6">
                  <c:v>-8.50163128515535</c:v>
                </c:pt>
                <c:pt idx="7">
                  <c:v>-6.43898122215701</c:v>
                </c:pt>
                <c:pt idx="8">
                  <c:v>-4.5086610683871</c:v>
                </c:pt>
                <c:pt idx="9">
                  <c:v>-2.7106798582092</c:v>
                </c:pt>
                <c:pt idx="10">
                  <c:v>-1.0615212158947</c:v>
                </c:pt>
                <c:pt idx="11">
                  <c:v>0.406703164917701</c:v>
                </c:pt>
                <c:pt idx="12">
                  <c:v>1.6518634338642</c:v>
                </c:pt>
                <c:pt idx="13">
                  <c:v>2.63481382867617</c:v>
                </c:pt>
                <c:pt idx="14">
                  <c:v>3.33687696871871</c:v>
                </c:pt>
                <c:pt idx="15">
                  <c:v>3.77155447405401</c:v>
                </c:pt>
                <c:pt idx="16">
                  <c:v>3.98144448118182</c:v>
                </c:pt>
                <c:pt idx="17">
                  <c:v>4.02318965384912</c:v>
                </c:pt>
                <c:pt idx="18">
                  <c:v>3.95169285564282</c:v>
                </c:pt>
                <c:pt idx="19">
                  <c:v>3.81121272918819</c:v>
                </c:pt>
                <c:pt idx="20">
                  <c:v>3.63343872303332</c:v>
                </c:pt>
                <c:pt idx="21">
                  <c:v>3.43931326258243</c:v>
                </c:pt>
                <c:pt idx="22">
                  <c:v>3.24187555260777</c:v>
                </c:pt>
                <c:pt idx="23">
                  <c:v>3.04881672769035</c:v>
                </c:pt>
                <c:pt idx="24">
                  <c:v>2.8643851459795</c:v>
                </c:pt>
                <c:pt idx="25">
                  <c:v>2.69068461060944</c:v>
                </c:pt>
                <c:pt idx="26">
                  <c:v>2.528520084164</c:v>
                </c:pt>
              </c:numCache>
            </c:numRef>
          </c:yVal>
          <c:smooth val="0"/>
        </c:ser>
        <c:axId val="34215857"/>
        <c:axId val="99777295"/>
      </c:scatterChart>
      <c:valAx>
        <c:axId val="34215857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777295"/>
        <c:crossesAt val="0"/>
        <c:crossBetween val="midCat"/>
      </c:valAx>
      <c:valAx>
        <c:axId val="9977729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dB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215857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b="0" lang="en-US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lang="en-US" sz="1300" spc="-1" strike="noStrike">
                <a:solidFill>
                  <a:srgbClr val="000000"/>
                </a:solidFill>
                <a:latin typeface="Arial"/>
              </a:rPr>
              <a:t>Predicted Response Graph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ported_box</c:f>
              <c:strCache>
                <c:ptCount val="1"/>
                <c:pt idx="0">
                  <c:v>ported_box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Sheet1!$F$12:$F$38</c:f>
              <c:numCache>
                <c:formatCode>General</c:formatCode>
                <c:ptCount val="2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135</c:v>
                </c:pt>
                <c:pt idx="24">
                  <c:v>140</c:v>
                </c:pt>
                <c:pt idx="25">
                  <c:v>145</c:v>
                </c:pt>
                <c:pt idx="26">
                  <c:v>150</c:v>
                </c:pt>
              </c:numCache>
            </c:numRef>
          </c:xVal>
          <c:yVal>
            <c:numRef>
              <c:f>Sheet1!$M$12:$M$38</c:f>
              <c:numCache>
                <c:formatCode>General</c:formatCode>
                <c:ptCount val="27"/>
                <c:pt idx="0">
                  <c:v>-23.672385045209</c:v>
                </c:pt>
                <c:pt idx="1">
                  <c:v>-12.7932380578588</c:v>
                </c:pt>
                <c:pt idx="2">
                  <c:v>-3.01082636714078</c:v>
                </c:pt>
                <c:pt idx="3">
                  <c:v>0.719499806589582</c:v>
                </c:pt>
                <c:pt idx="4">
                  <c:v>0.902949406706689</c:v>
                </c:pt>
                <c:pt idx="5">
                  <c:v>1.33705063725003</c:v>
                </c:pt>
                <c:pt idx="6">
                  <c:v>2.01695073359466</c:v>
                </c:pt>
                <c:pt idx="7">
                  <c:v>2.68108081196729</c:v>
                </c:pt>
                <c:pt idx="8">
                  <c:v>3.1800284988514</c:v>
                </c:pt>
                <c:pt idx="9">
                  <c:v>3.4650439833929</c:v>
                </c:pt>
                <c:pt idx="10">
                  <c:v>3.55597809215728</c:v>
                </c:pt>
                <c:pt idx="11">
                  <c:v>3.50406163800836</c:v>
                </c:pt>
                <c:pt idx="12">
                  <c:v>3.36282283398424</c:v>
                </c:pt>
                <c:pt idx="13">
                  <c:v>3.1743029607118</c:v>
                </c:pt>
                <c:pt idx="14">
                  <c:v>2.96676745746755</c:v>
                </c:pt>
                <c:pt idx="15">
                  <c:v>2.75736096864406</c:v>
                </c:pt>
                <c:pt idx="16">
                  <c:v>2.55561532115032</c:v>
                </c:pt>
                <c:pt idx="17">
                  <c:v>2.36629396697525</c:v>
                </c:pt>
                <c:pt idx="18">
                  <c:v>2.1913379401594</c:v>
                </c:pt>
                <c:pt idx="19">
                  <c:v>2.03109342723967</c:v>
                </c:pt>
                <c:pt idx="20">
                  <c:v>1.88505230991881</c:v>
                </c:pt>
                <c:pt idx="21">
                  <c:v>1.75228617797169</c:v>
                </c:pt>
                <c:pt idx="22">
                  <c:v>1.63169455018331</c:v>
                </c:pt>
                <c:pt idx="23">
                  <c:v>1.52214281112343</c:v>
                </c:pt>
                <c:pt idx="24">
                  <c:v>1.42253567900808</c:v>
                </c:pt>
                <c:pt idx="25">
                  <c:v>1.33185279653207</c:v>
                </c:pt>
                <c:pt idx="26">
                  <c:v>1.24916414239032</c:v>
                </c:pt>
              </c:numCache>
            </c:numRef>
          </c:yVal>
          <c:smooth val="0"/>
        </c:ser>
        <c:axId val="71368994"/>
        <c:axId val="46081260"/>
      </c:scatterChart>
      <c:valAx>
        <c:axId val="71368994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081260"/>
        <c:crossesAt val="0"/>
        <c:crossBetween val="midCat"/>
      </c:valAx>
      <c:valAx>
        <c:axId val="4608126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dB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1368994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b="0" lang="en-US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101160</xdr:colOff>
      <xdr:row>27</xdr:row>
      <xdr:rowOff>55440</xdr:rowOff>
    </xdr:to>
    <xdr:graphicFrame>
      <xdr:nvGraphicFramePr>
        <xdr:cNvPr id="0" name="Object0"/>
        <xdr:cNvGraphicFramePr/>
      </xdr:nvGraphicFramePr>
      <xdr:xfrm>
        <a:off x="0" y="0"/>
        <a:ext cx="6501960" cy="444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101520</xdr:colOff>
      <xdr:row>0</xdr:row>
      <xdr:rowOff>0</xdr:rowOff>
    </xdr:from>
    <xdr:to>
      <xdr:col>14</xdr:col>
      <xdr:colOff>202680</xdr:colOff>
      <xdr:row>27</xdr:row>
      <xdr:rowOff>55440</xdr:rowOff>
    </xdr:to>
    <xdr:graphicFrame>
      <xdr:nvGraphicFramePr>
        <xdr:cNvPr id="1" name="Object1"/>
        <xdr:cNvGraphicFramePr/>
      </xdr:nvGraphicFramePr>
      <xdr:xfrm>
        <a:off x="6502320" y="0"/>
        <a:ext cx="6501960" cy="444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55800</xdr:rowOff>
    </xdr:from>
    <xdr:to>
      <xdr:col>7</xdr:col>
      <xdr:colOff>101160</xdr:colOff>
      <xdr:row>54</xdr:row>
      <xdr:rowOff>111240</xdr:rowOff>
    </xdr:to>
    <xdr:graphicFrame>
      <xdr:nvGraphicFramePr>
        <xdr:cNvPr id="2" name="Object2"/>
        <xdr:cNvGraphicFramePr/>
      </xdr:nvGraphicFramePr>
      <xdr:xfrm>
        <a:off x="0" y="4444920"/>
        <a:ext cx="6501960" cy="444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101520</xdr:colOff>
      <xdr:row>27</xdr:row>
      <xdr:rowOff>55800</xdr:rowOff>
    </xdr:from>
    <xdr:to>
      <xdr:col>14</xdr:col>
      <xdr:colOff>202680</xdr:colOff>
      <xdr:row>54</xdr:row>
      <xdr:rowOff>111240</xdr:rowOff>
    </xdr:to>
    <xdr:graphicFrame>
      <xdr:nvGraphicFramePr>
        <xdr:cNvPr id="3" name="Object3"/>
        <xdr:cNvGraphicFramePr/>
      </xdr:nvGraphicFramePr>
      <xdr:xfrm>
        <a:off x="6502320" y="4444920"/>
        <a:ext cx="6501960" cy="444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83"/>
    <col collapsed="false" customWidth="true" hidden="false" outlineLevel="0" max="2" min="2" style="1" width="12.97"/>
    <col collapsed="false" customWidth="true" hidden="false" outlineLevel="0" max="3" min="3" style="1" width="36.04"/>
    <col collapsed="false" customWidth="true" hidden="false" outlineLevel="0" max="7" min="4" style="1" width="12.97"/>
    <col collapsed="false" customWidth="true" hidden="false" outlineLevel="0" max="8" min="8" style="1" width="14.41"/>
    <col collapsed="false" customWidth="true" hidden="false" outlineLevel="0" max="27" min="9" style="1" width="12.97"/>
    <col collapsed="false" customWidth="true" hidden="false" outlineLevel="0" max="28" min="28" style="1" width="17.3"/>
    <col collapsed="false" customWidth="true" hidden="false" outlineLevel="0" max="29" min="29" style="1" width="43.24"/>
    <col collapsed="false" customWidth="true" hidden="false" outlineLevel="0" max="30" min="30" style="1" width="17.3"/>
    <col collapsed="false" customWidth="true" hidden="false" outlineLevel="0" max="31" min="31" style="1" width="12.97"/>
    <col collapsed="false" customWidth="true" hidden="false" outlineLevel="0" max="32" min="32" style="1" width="17.3"/>
    <col collapsed="false" customWidth="true" hidden="false" outlineLevel="0" max="34" min="33" style="1" width="12.97"/>
    <col collapsed="false" customWidth="true" hidden="false" outlineLevel="0" max="35" min="35" style="1" width="54.77"/>
    <col collapsed="false" customWidth="true" hidden="false" outlineLevel="0" max="36" min="36" style="1" width="12.97"/>
    <col collapsed="false" customWidth="true" hidden="false" outlineLevel="0" max="37" min="37" style="1" width="8.65"/>
    <col collapsed="false" customWidth="true" hidden="false" outlineLevel="0" max="38" min="38" style="1" width="86.48"/>
    <col collapsed="false" customWidth="true" hidden="false" outlineLevel="0" max="39" min="39" style="1" width="8.65"/>
  </cols>
  <sheetData>
    <row r="1" customFormat="false" ht="16" hidden="false" customHeight="true" outlineLevel="0" collapsed="false">
      <c r="I1" s="2" t="s">
        <v>0</v>
      </c>
    </row>
    <row r="2" customFormat="false" ht="16" hidden="false" customHeight="true" outlineLevel="0" collapsed="false">
      <c r="A2" s="3"/>
      <c r="B2" s="3"/>
      <c r="C2" s="3"/>
      <c r="D2" s="3"/>
      <c r="E2" s="3"/>
      <c r="AA2" s="3"/>
      <c r="AB2" s="3"/>
      <c r="AC2" s="4" t="s">
        <v>1</v>
      </c>
      <c r="AD2" s="4"/>
      <c r="AE2" s="4"/>
      <c r="AF2" s="3"/>
      <c r="AK2" s="4"/>
      <c r="AL2" s="2" t="s">
        <v>2</v>
      </c>
      <c r="AM2" s="4"/>
    </row>
    <row r="3" customFormat="false" ht="16" hidden="false" customHeight="true" outlineLevel="0" collapsed="false">
      <c r="A3" s="4"/>
      <c r="B3" s="4"/>
      <c r="C3" s="4" t="s">
        <v>3</v>
      </c>
      <c r="D3" s="4"/>
      <c r="E3" s="4"/>
      <c r="F3" s="2" t="s">
        <v>4</v>
      </c>
      <c r="K3" s="2" t="s">
        <v>5</v>
      </c>
    </row>
    <row r="4" customFormat="false" ht="16" hidden="false" customHeight="true" outlineLevel="0" collapsed="false">
      <c r="A4" s="4"/>
      <c r="B4" s="4"/>
      <c r="C4" s="5" t="s">
        <v>6</v>
      </c>
      <c r="D4" s="4"/>
      <c r="E4" s="4"/>
      <c r="F4" s="2" t="s">
        <v>7</v>
      </c>
      <c r="G4" s="3" t="n">
        <f aca="false">1/B7^2</f>
        <v>0.00033057851</v>
      </c>
      <c r="K4" s="2" t="s">
        <v>7</v>
      </c>
      <c r="L4" s="3" t="n">
        <f aca="false">D18^2/B7^2</f>
        <v>0.44241142</v>
      </c>
      <c r="AK4" s="3" t="str">
        <f aca="false">CHAR(25)</f>
        <v>_x005F_x0019_</v>
      </c>
      <c r="AM4" s="2" t="s">
        <v>8</v>
      </c>
    </row>
    <row r="5" customFormat="false" ht="16" hidden="false" customHeight="true" outlineLevel="0" collapsed="false">
      <c r="A5" s="4"/>
      <c r="B5" s="4"/>
      <c r="C5" s="4"/>
      <c r="D5" s="4"/>
      <c r="E5" s="4"/>
      <c r="F5" s="2" t="s">
        <v>9</v>
      </c>
      <c r="G5" s="3" t="n">
        <f aca="false">(G4/B8)+(1/(7*B7))</f>
        <v>0.00296471205295815</v>
      </c>
      <c r="K5" s="2" t="s">
        <v>9</v>
      </c>
      <c r="L5" s="3" t="n">
        <f aca="false">L4/B8+D18/(7*B7)</f>
        <v>0.586588265223665</v>
      </c>
      <c r="AA5" s="2" t="s">
        <v>10</v>
      </c>
      <c r="AB5" s="4" t="s">
        <v>11</v>
      </c>
      <c r="AD5" s="2" t="s">
        <v>12</v>
      </c>
      <c r="AE5" s="6" t="n">
        <f aca="true">NOW()</f>
        <v>44999.8076966551</v>
      </c>
      <c r="AL5" s="4" t="s">
        <v>13</v>
      </c>
    </row>
    <row r="6" customFormat="false" ht="16" hidden="false" customHeight="true" outlineLevel="0" collapsed="false">
      <c r="A6" s="2" t="s">
        <v>14</v>
      </c>
      <c r="B6" s="7" t="n">
        <v>2</v>
      </c>
      <c r="C6" s="4" t="s">
        <v>15</v>
      </c>
      <c r="F6" s="2" t="s">
        <v>16</v>
      </c>
      <c r="G6" s="3" t="n">
        <f aca="false">1+G4+(1/(7*B7*B8))+(B6/B16)</f>
        <v>2.78099435917378</v>
      </c>
      <c r="K6" s="2" t="s">
        <v>16</v>
      </c>
      <c r="L6" s="3" t="n">
        <f aca="false">1+L4+D18/(7*B7*B8)+B6/D16</f>
        <v>1.83680083371505</v>
      </c>
      <c r="AL6" s="4" t="s">
        <v>17</v>
      </c>
    </row>
    <row r="7" customFormat="false" ht="16" hidden="false" customHeight="true" outlineLevel="0" collapsed="false">
      <c r="A7" s="2" t="s">
        <v>18</v>
      </c>
      <c r="B7" s="7" t="n">
        <v>55</v>
      </c>
      <c r="C7" s="4" t="s">
        <v>19</v>
      </c>
      <c r="F7" s="2" t="s">
        <v>20</v>
      </c>
      <c r="G7" s="3" t="n">
        <f aca="false">1/B8+1/(7*B7)</f>
        <v>1.11370851370851</v>
      </c>
      <c r="K7" s="2" t="s">
        <v>20</v>
      </c>
      <c r="L7" s="3" t="n">
        <f aca="false">1/B8+D18/(7*B7)</f>
        <v>1.20613113189033</v>
      </c>
      <c r="Z7" s="3"/>
      <c r="AA7" s="2" t="s">
        <v>21</v>
      </c>
      <c r="AB7" s="4" t="s">
        <v>22</v>
      </c>
      <c r="AC7" s="3"/>
      <c r="AD7" s="3"/>
      <c r="AE7" s="3"/>
      <c r="AF7" s="3"/>
    </row>
    <row r="8" customFormat="false" ht="16" hidden="false" customHeight="true" outlineLevel="0" collapsed="false">
      <c r="A8" s="2" t="s">
        <v>23</v>
      </c>
      <c r="B8" s="7" t="n">
        <v>0.9</v>
      </c>
      <c r="C8" s="4" t="s">
        <v>24</v>
      </c>
      <c r="Z8" s="3"/>
      <c r="AA8" s="2" t="s">
        <v>25</v>
      </c>
      <c r="AB8" s="4" t="s">
        <v>22</v>
      </c>
      <c r="AC8" s="3"/>
      <c r="AF8" s="3"/>
      <c r="AH8" s="4"/>
      <c r="AI8" s="4"/>
      <c r="AJ8" s="4"/>
      <c r="AL8" s="4" t="s">
        <v>26</v>
      </c>
    </row>
    <row r="9" customFormat="false" ht="16" hidden="false" customHeight="true" outlineLevel="0" collapsed="false">
      <c r="A9" s="4"/>
      <c r="B9" s="4"/>
      <c r="C9" s="4"/>
      <c r="D9" s="4"/>
      <c r="E9" s="4"/>
      <c r="F9" s="2" t="s">
        <v>27</v>
      </c>
      <c r="H9" s="2" t="s">
        <v>28</v>
      </c>
    </row>
    <row r="10" customFormat="false" ht="16" hidden="false" customHeight="true" outlineLevel="0" collapsed="false">
      <c r="A10" s="4"/>
      <c r="B10" s="4"/>
      <c r="C10" s="5" t="s">
        <v>29</v>
      </c>
      <c r="D10" s="4"/>
      <c r="E10" s="4"/>
      <c r="AH10" s="4"/>
      <c r="AI10" s="5" t="s">
        <v>30</v>
      </c>
      <c r="AJ10" s="4"/>
      <c r="AL10" s="4" t="s">
        <v>31</v>
      </c>
    </row>
    <row r="11" customFormat="false" ht="16" hidden="false" customHeight="true" outlineLevel="0" collapsed="false">
      <c r="A11" s="4"/>
      <c r="B11" s="4"/>
      <c r="C11" s="4"/>
      <c r="D11" s="4"/>
      <c r="E11" s="4"/>
      <c r="AC11" s="5" t="s">
        <v>32</v>
      </c>
      <c r="AH11" s="4"/>
      <c r="AI11" s="4"/>
      <c r="AJ11" s="4"/>
      <c r="AL11" s="4" t="s">
        <v>33</v>
      </c>
    </row>
    <row r="12" customFormat="false" ht="16" hidden="false" customHeight="true" outlineLevel="0" collapsed="false">
      <c r="A12" s="4" t="s">
        <v>34</v>
      </c>
      <c r="B12" s="2" t="s">
        <v>7</v>
      </c>
      <c r="C12" s="3" t="n">
        <v>1.7699115</v>
      </c>
      <c r="D12" s="4" t="s">
        <v>35</v>
      </c>
      <c r="F12" s="3" t="n">
        <v>20</v>
      </c>
      <c r="G12" s="3" t="n">
        <f aca="false">F12/$B$7</f>
        <v>0.36363636</v>
      </c>
      <c r="H12" s="3" t="n">
        <f aca="false">20*LOG10(G12^4/SQRT(((G12^4-$G$6*G12^2+$G$4)^2)+($G$5*G12-$G$7*G12^3)^2))</f>
        <v>-26.1225492907585</v>
      </c>
      <c r="K12" s="3" t="n">
        <v>20</v>
      </c>
      <c r="L12" s="3" t="n">
        <f aca="false">K12/$B$7</f>
        <v>0.36363636</v>
      </c>
      <c r="M12" s="3" t="n">
        <f aca="false">20*LOG10(L12^4/SQRT(((L12^4-$L$6*L12^2+$L$4)^2)+($L$5*L12-$L$7*L12^3)^2))</f>
        <v>-23.672385045209</v>
      </c>
    </row>
    <row r="13" customFormat="false" ht="16" hidden="false" customHeight="true" outlineLevel="0" collapsed="false">
      <c r="A13" s="4"/>
      <c r="B13" s="4"/>
      <c r="C13" s="4"/>
      <c r="D13" s="4"/>
      <c r="E13" s="4"/>
      <c r="F13" s="3" t="n">
        <v>25</v>
      </c>
      <c r="G13" s="3" t="n">
        <f aca="false">F13/$B$7</f>
        <v>0.45454545</v>
      </c>
      <c r="H13" s="3" t="n">
        <f aca="false">20*LOG10(G13^4/SQRT(((G13^4-$G$6*G13^2+$G$4)^2)+($G$5*G13-$G$7*G13^3)^2))</f>
        <v>-22.0657920884273</v>
      </c>
      <c r="K13" s="3" t="n">
        <v>25</v>
      </c>
      <c r="L13" s="3" t="n">
        <f aca="false">K13/$B$7</f>
        <v>0.45454545</v>
      </c>
      <c r="M13" s="3" t="n">
        <f aca="false">20*LOG10(L13^4/SQRT(((L13^4-$L$6*L13^2+$L$4)^2)+($L$5*L13-$L$7*L13^3)^2))</f>
        <v>-12.7932380578588</v>
      </c>
      <c r="AA13" s="2" t="s">
        <v>14</v>
      </c>
      <c r="AB13" s="3" t="n">
        <f aca="false">$B$6</f>
        <v>2</v>
      </c>
      <c r="AC13" s="4" t="s">
        <v>36</v>
      </c>
      <c r="AD13" s="4" t="s">
        <v>22</v>
      </c>
      <c r="AE13" s="4" t="s">
        <v>37</v>
      </c>
      <c r="AL13" s="4" t="s">
        <v>38</v>
      </c>
    </row>
    <row r="14" customFormat="false" ht="16" hidden="false" customHeight="true" outlineLevel="0" collapsed="false">
      <c r="A14" s="4"/>
      <c r="B14" s="4"/>
      <c r="C14" s="4"/>
      <c r="D14" s="4"/>
      <c r="E14" s="4"/>
      <c r="F14" s="3" t="n">
        <v>30</v>
      </c>
      <c r="G14" s="3" t="n">
        <f aca="false">F14/$B$7</f>
        <v>0.54545455</v>
      </c>
      <c r="H14" s="3" t="n">
        <f aca="false">20*LOG10(G14^4/SQRT(((G14^4-$G$6*G14^2+$G$4)^2)+($G$5*G14-$G$7*G14^3)^2))</f>
        <v>-18.6751819484493</v>
      </c>
      <c r="K14" s="3" t="n">
        <v>30</v>
      </c>
      <c r="L14" s="3" t="n">
        <f aca="false">K14/$B$7</f>
        <v>0.54545455</v>
      </c>
      <c r="M14" s="3" t="n">
        <f aca="false">20*LOG10(L14^4/SQRT(((L14^4-$L$6*L14^2+$L$4)^2)+($L$5*L14-$L$7*L14^3)^2))</f>
        <v>-3.01082636714078</v>
      </c>
      <c r="AA14" s="2" t="s">
        <v>18</v>
      </c>
      <c r="AB14" s="3" t="n">
        <f aca="false">$B$7</f>
        <v>55</v>
      </c>
      <c r="AC14" s="4" t="s">
        <v>39</v>
      </c>
      <c r="AL14" s="4" t="s">
        <v>40</v>
      </c>
    </row>
    <row r="15" customFormat="false" ht="16" hidden="false" customHeight="true" outlineLevel="0" collapsed="false">
      <c r="A15" s="2" t="s">
        <v>41</v>
      </c>
      <c r="B15" s="7" t="n">
        <v>1</v>
      </c>
      <c r="C15" s="3"/>
      <c r="E15" s="4" t="s">
        <v>22</v>
      </c>
      <c r="F15" s="3" t="n">
        <v>35</v>
      </c>
      <c r="G15" s="3" t="n">
        <f aca="false">F15/$B$7</f>
        <v>0.63636364</v>
      </c>
      <c r="H15" s="3" t="n">
        <f aca="false">20*LOG10(G15^4/SQRT(((G15^4-$G$6*G15^2+$G$4)^2)+($G$5*G15-$G$7*G15^3)^2))</f>
        <v>-15.7316117138084</v>
      </c>
      <c r="K15" s="3" t="n">
        <v>35</v>
      </c>
      <c r="L15" s="3" t="n">
        <f aca="false">K15/$B$7</f>
        <v>0.63636364</v>
      </c>
      <c r="M15" s="3" t="n">
        <f aca="false">20*LOG10(L15^4/SQRT(((L15^4-$L$6*L15^2+$L$4)^2)+($L$5*L15-$L$7*L15^3)^2))</f>
        <v>0.719499806589582</v>
      </c>
      <c r="AA15" s="2" t="s">
        <v>23</v>
      </c>
      <c r="AB15" s="3" t="n">
        <f aca="false">$B$8</f>
        <v>0.9</v>
      </c>
      <c r="AC15" s="4" t="s">
        <v>42</v>
      </c>
      <c r="AE15" s="4" t="s">
        <v>43</v>
      </c>
    </row>
    <row r="16" customFormat="false" ht="16" hidden="false" customHeight="true" outlineLevel="0" collapsed="false">
      <c r="A16" s="2" t="s">
        <v>44</v>
      </c>
      <c r="B16" s="7" t="n">
        <v>1.125</v>
      </c>
      <c r="C16" s="2" t="s">
        <v>45</v>
      </c>
      <c r="D16" s="7" t="n">
        <v>6.9249293</v>
      </c>
      <c r="E16" s="4" t="s">
        <v>46</v>
      </c>
      <c r="F16" s="3" t="n">
        <v>40</v>
      </c>
      <c r="G16" s="3" t="n">
        <f aca="false">F16/$B$7</f>
        <v>0.72727273</v>
      </c>
      <c r="H16" s="3" t="n">
        <f aca="false">20*LOG10(G16^4/SQRT(((G16^4-$G$6*G16^2+$G$4)^2)+($G$5*G16-$G$7*G16^3)^2))</f>
        <v>-13.1049010073565</v>
      </c>
      <c r="K16" s="3" t="n">
        <v>40</v>
      </c>
      <c r="L16" s="3" t="n">
        <f aca="false">K16/$B$7</f>
        <v>0.72727273</v>
      </c>
      <c r="M16" s="3" t="n">
        <f aca="false">20*LOG10(L16^4/SQRT(((L16^4-$L$6*L16^2+$L$4)^2)+($L$5*L16-$L$7*L16^3)^2))</f>
        <v>0.902949406706689</v>
      </c>
      <c r="AL16" s="4" t="s">
        <v>47</v>
      </c>
    </row>
    <row r="17" customFormat="false" ht="16" hidden="false" customHeight="true" outlineLevel="0" collapsed="false">
      <c r="A17" s="2" t="s">
        <v>48</v>
      </c>
      <c r="B17" s="7" t="n">
        <v>91.666667</v>
      </c>
      <c r="C17" s="2" t="s">
        <v>49</v>
      </c>
      <c r="D17" s="7" t="n">
        <v>29.236426</v>
      </c>
      <c r="E17" s="4" t="s">
        <v>50</v>
      </c>
      <c r="F17" s="3" t="n">
        <v>45</v>
      </c>
      <c r="G17" s="3" t="n">
        <f aca="false">F17/$B$7</f>
        <v>0.81818182</v>
      </c>
      <c r="H17" s="3" t="n">
        <f aca="false">20*LOG10(G17^4/SQRT(((G17^4-$G$6*G17^2+$G$4)^2)+($G$5*G17-$G$7*G17^3)^2))</f>
        <v>-10.7126578638541</v>
      </c>
      <c r="K17" s="3" t="n">
        <v>45</v>
      </c>
      <c r="L17" s="3" t="n">
        <f aca="false">K17/$B$7</f>
        <v>0.81818182</v>
      </c>
      <c r="M17" s="3" t="n">
        <f aca="false">20*LOG10(L17^4/SQRT(((L17^4-$L$6*L17^2+$L$4)^2)+($L$5*L17-$L$7*L17^3)^2))</f>
        <v>1.33705063725003</v>
      </c>
      <c r="AA17" s="4" t="s">
        <v>22</v>
      </c>
      <c r="AB17" s="4" t="s">
        <v>22</v>
      </c>
      <c r="AC17" s="4" t="s">
        <v>22</v>
      </c>
      <c r="AD17" s="4" t="s">
        <v>22</v>
      </c>
      <c r="AE17" s="4" t="s">
        <v>22</v>
      </c>
      <c r="AL17" s="4" t="s">
        <v>51</v>
      </c>
    </row>
    <row r="18" customFormat="false" ht="16" hidden="false" customHeight="true" outlineLevel="0" collapsed="false">
      <c r="A18" s="2" t="s">
        <v>52</v>
      </c>
      <c r="B18" s="7" t="n">
        <v>72.416667</v>
      </c>
      <c r="C18" s="2" t="s">
        <v>53</v>
      </c>
      <c r="D18" s="7" t="n">
        <v>36.582708</v>
      </c>
      <c r="E18" s="4" t="s">
        <v>50</v>
      </c>
      <c r="F18" s="3" t="n">
        <v>50</v>
      </c>
      <c r="G18" s="3" t="n">
        <f aca="false">F18/$B$7</f>
        <v>0.90909091</v>
      </c>
      <c r="H18" s="3" t="n">
        <f aca="false">20*LOG10(G18^4/SQRT(((G18^4-$G$6*G18^2+$G$4)^2)+($G$5*G18-$G$7*G18^3)^2))</f>
        <v>-8.50163128515535</v>
      </c>
      <c r="K18" s="3" t="n">
        <v>50</v>
      </c>
      <c r="L18" s="3" t="n">
        <f aca="false">K18/$B$7</f>
        <v>0.90909091</v>
      </c>
      <c r="M18" s="3" t="n">
        <f aca="false">20*LOG10(L18^4/SQRT(((L18^4-$L$6*L18^2+$L$4)^2)+($L$5*L18-$L$7*L18^3)^2))</f>
        <v>2.01695073359466</v>
      </c>
      <c r="AA18" s="4" t="s">
        <v>22</v>
      </c>
      <c r="AE18" s="4" t="s">
        <v>22</v>
      </c>
      <c r="AL18" s="4" t="s">
        <v>54</v>
      </c>
    </row>
    <row r="19" customFormat="false" ht="16" hidden="false" customHeight="true" outlineLevel="0" collapsed="false">
      <c r="A19" s="4"/>
      <c r="B19" s="4"/>
      <c r="C19" s="4"/>
      <c r="D19" s="4"/>
      <c r="E19" s="4"/>
      <c r="F19" s="3" t="n">
        <v>55</v>
      </c>
      <c r="G19" s="3" t="n">
        <f aca="false">F19/$B$7</f>
        <v>1</v>
      </c>
      <c r="H19" s="3" t="n">
        <f aca="false">20*LOG10(G19^4/SQRT(((G19^4-$G$6*G19^2+$G$4)^2)+($G$5*G19-$G$7*G19^3)^2))</f>
        <v>-6.43898122215701</v>
      </c>
      <c r="K19" s="3" t="n">
        <v>55</v>
      </c>
      <c r="L19" s="3" t="n">
        <f aca="false">K19/$B$7</f>
        <v>1</v>
      </c>
      <c r="M19" s="3" t="n">
        <f aca="false">20*LOG10(L19^4/SQRT(((L19^4-$L$6*L19^2+$L$4)^2)+($L$5*L19-$L$7*L19^3)^2))</f>
        <v>2.68108081196729</v>
      </c>
      <c r="AA19" s="4" t="s">
        <v>22</v>
      </c>
      <c r="AC19" s="5" t="s">
        <v>55</v>
      </c>
      <c r="AE19" s="4" t="s">
        <v>22</v>
      </c>
    </row>
    <row r="20" customFormat="false" ht="16" hidden="false" customHeight="true" outlineLevel="0" collapsed="false">
      <c r="A20" s="4"/>
      <c r="B20" s="4"/>
      <c r="C20" s="4"/>
      <c r="D20" s="4"/>
      <c r="E20" s="4"/>
      <c r="F20" s="3" t="n">
        <v>60</v>
      </c>
      <c r="G20" s="3" t="n">
        <f aca="false">F20/$B$7</f>
        <v>1.0909091</v>
      </c>
      <c r="H20" s="3" t="n">
        <f aca="false">20*LOG10(G20^4/SQRT(((G20^4-$G$6*G20^2+$G$4)^2)+($G$5*G20-$G$7*G20^3)^2))</f>
        <v>-4.5086610683871</v>
      </c>
      <c r="K20" s="3" t="n">
        <v>60</v>
      </c>
      <c r="L20" s="3" t="n">
        <f aca="false">K20/$B$7</f>
        <v>1.0909091</v>
      </c>
      <c r="M20" s="3" t="n">
        <f aca="false">20*LOG10(L20^4/SQRT(((L20^4-$L$6*L20^2+$L$4)^2)+($L$5*L20-$L$7*L20^3)^2))</f>
        <v>3.1800284988514</v>
      </c>
      <c r="Z20" s="3"/>
      <c r="AA20" s="4" t="s">
        <v>22</v>
      </c>
      <c r="AE20" s="4" t="s">
        <v>22</v>
      </c>
      <c r="AF20" s="3"/>
    </row>
    <row r="21" customFormat="false" ht="16" hidden="false" customHeight="true" outlineLevel="0" collapsed="false">
      <c r="A21" s="3"/>
      <c r="B21" s="3"/>
      <c r="C21" s="3"/>
      <c r="D21" s="3"/>
      <c r="E21" s="3"/>
      <c r="F21" s="3" t="n">
        <v>65</v>
      </c>
      <c r="G21" s="3" t="n">
        <f aca="false">F21/$B$7</f>
        <v>1.1818182</v>
      </c>
      <c r="H21" s="3" t="n">
        <f aca="false">20*LOG10(G21^4/SQRT(((G21^4-$G$6*G21^2+$G$4)^2)+($G$5*G21-$G$7*G21^3)^2))</f>
        <v>-2.7106798582092</v>
      </c>
      <c r="K21" s="3" t="n">
        <v>65</v>
      </c>
      <c r="L21" s="3" t="n">
        <f aca="false">K21/$B$7</f>
        <v>1.1818182</v>
      </c>
      <c r="M21" s="3" t="n">
        <f aca="false">20*LOG10(L21^4/SQRT(((L21^4-$L$6*L21^2+$L$4)^2)+($L$5*L21-$L$7*L21^3)^2))</f>
        <v>3.4650439833929</v>
      </c>
      <c r="Z21" s="3"/>
      <c r="AA21" s="3"/>
      <c r="AB21" s="3"/>
      <c r="AC21" s="3"/>
      <c r="AD21" s="3"/>
      <c r="AE21" s="3"/>
      <c r="AF21" s="3"/>
      <c r="AK21" s="3" t="str">
        <f aca="false">CHAR(24)&amp;CHAR(25)</f>
        <v>_x005F_x0018__x005F_x0019_</v>
      </c>
      <c r="AL21" s="5" t="s">
        <v>56</v>
      </c>
      <c r="AM21" s="2" t="s">
        <v>57</v>
      </c>
    </row>
    <row r="22" customFormat="false" ht="16" hidden="false" customHeight="true" outlineLevel="0" collapsed="false">
      <c r="A22" s="4"/>
      <c r="B22" s="4"/>
      <c r="C22" s="4"/>
      <c r="D22" s="4"/>
      <c r="E22" s="4"/>
      <c r="F22" s="3" t="n">
        <v>70</v>
      </c>
      <c r="G22" s="3" t="n">
        <f aca="false">F22/$B$7</f>
        <v>1.2727273</v>
      </c>
      <c r="H22" s="3" t="n">
        <f aca="false">20*LOG10(G22^4/SQRT(((G22^4-$G$6*G22^2+$G$4)^2)+($G$5*G22-$G$7*G22^3)^2))</f>
        <v>-1.0615212158947</v>
      </c>
      <c r="K22" s="3" t="n">
        <v>70</v>
      </c>
      <c r="L22" s="3" t="n">
        <f aca="false">K22/$B$7</f>
        <v>1.2727273</v>
      </c>
      <c r="M22" s="3" t="n">
        <f aca="false">20*LOG10(L22^4/SQRT(((L22^4-$L$6*L22^2+$L$4)^2)+($L$5*L22-$L$7*L22^3)^2))</f>
        <v>3.55597809215728</v>
      </c>
      <c r="AA22" s="3"/>
      <c r="AB22" s="4" t="s">
        <v>58</v>
      </c>
      <c r="AC22" s="3"/>
      <c r="AD22" s="4" t="s">
        <v>59</v>
      </c>
      <c r="AE22" s="3"/>
    </row>
    <row r="23" customFormat="false" ht="16" hidden="false" customHeight="true" outlineLevel="0" collapsed="false">
      <c r="A23" s="4"/>
      <c r="B23" s="4"/>
      <c r="C23" s="4" t="s">
        <v>60</v>
      </c>
      <c r="D23" s="4"/>
      <c r="E23" s="4"/>
      <c r="F23" s="3" t="n">
        <v>75</v>
      </c>
      <c r="G23" s="3" t="n">
        <f aca="false">F23/$B$7</f>
        <v>1.3636364</v>
      </c>
      <c r="H23" s="3" t="n">
        <f aca="false">20*LOG10(G23^4/SQRT(((G23^4-$G$6*G23^2+$G$4)^2)+($G$5*G23-$G$7*G23^3)^2))</f>
        <v>0.406703164917701</v>
      </c>
      <c r="K23" s="3" t="n">
        <v>75</v>
      </c>
      <c r="L23" s="3" t="n">
        <f aca="false">K23/$B$7</f>
        <v>1.3636364</v>
      </c>
      <c r="M23" s="3" t="n">
        <f aca="false">20*LOG10(L23^4/SQRT(((L23^4-$L$6*L23^2+$L$4)^2)+($L$5*L23-$L$7*L23^3)^2))</f>
        <v>3.50406163800836</v>
      </c>
      <c r="AA23" s="3"/>
      <c r="AB23" s="3"/>
      <c r="AC23" s="3"/>
      <c r="AD23" s="3"/>
      <c r="AE23" s="3"/>
      <c r="AL23" s="4" t="s">
        <v>61</v>
      </c>
    </row>
    <row r="24" customFormat="false" ht="16" hidden="false" customHeight="true" outlineLevel="0" collapsed="false">
      <c r="A24" s="4"/>
      <c r="B24" s="4"/>
      <c r="C24" s="4"/>
      <c r="D24" s="4"/>
      <c r="E24" s="4"/>
      <c r="F24" s="3" t="n">
        <v>80</v>
      </c>
      <c r="G24" s="3" t="n">
        <f aca="false">F24/$B$7</f>
        <v>1.4545455</v>
      </c>
      <c r="H24" s="3" t="n">
        <f aca="false">20*LOG10(G24^4/SQRT(((G24^4-$G$6*G24^2+$G$4)^2)+($G$5*G24-$G$7*G24^3)^2))</f>
        <v>1.6518634338642</v>
      </c>
      <c r="K24" s="3" t="n">
        <v>80</v>
      </c>
      <c r="L24" s="3" t="n">
        <f aca="false">K24/$B$7</f>
        <v>1.4545455</v>
      </c>
      <c r="M24" s="3" t="n">
        <f aca="false">20*LOG10(L24^4/SQRT(((L24^4-$L$6*L24^2+$L$4)^2)+($L$5*L24-$L$7*L24^3)^2))</f>
        <v>3.36282283398424</v>
      </c>
      <c r="AL24" s="4" t="s">
        <v>62</v>
      </c>
    </row>
    <row r="25" customFormat="false" ht="16" hidden="false" customHeight="true" outlineLevel="0" collapsed="false">
      <c r="A25" s="2" t="s">
        <v>63</v>
      </c>
      <c r="B25" s="7" t="n">
        <f aca="false">D16</f>
        <v>6.9249293</v>
      </c>
      <c r="C25" s="4" t="s">
        <v>64</v>
      </c>
      <c r="D25" s="7" t="n">
        <f aca="false">(D16*1728)^(1/3)</f>
        <v>22.872819</v>
      </c>
      <c r="E25" s="4" t="s">
        <v>65</v>
      </c>
      <c r="F25" s="3" t="n">
        <v>85</v>
      </c>
      <c r="G25" s="3" t="n">
        <f aca="false">F25/$B$7</f>
        <v>1.5454545</v>
      </c>
      <c r="H25" s="3" t="n">
        <f aca="false">20*LOG10(G25^4/SQRT(((G25^4-$G$6*G25^2+$G$4)^2)+($G$5*G25-$G$7*G25^3)^2))</f>
        <v>2.63481382867617</v>
      </c>
      <c r="K25" s="3" t="n">
        <v>85</v>
      </c>
      <c r="L25" s="3" t="n">
        <f aca="false">K25/$B$7</f>
        <v>1.5454545</v>
      </c>
      <c r="M25" s="3" t="n">
        <f aca="false">20*LOG10(L25^4/SQRT(((L25^4-$L$6*L25^2+$L$4)^2)+($L$5*L25-$L$7*L25^3)^2))</f>
        <v>3.1743029607118</v>
      </c>
      <c r="AA25" s="2" t="s">
        <v>41</v>
      </c>
      <c r="AB25" s="7" t="n">
        <f aca="false">$B$15</f>
        <v>1</v>
      </c>
      <c r="AC25" s="3"/>
      <c r="AD25" s="4"/>
      <c r="AE25" s="4" t="s">
        <v>22</v>
      </c>
      <c r="AL25" s="4" t="s">
        <v>66</v>
      </c>
    </row>
    <row r="26" customFormat="false" ht="16" hidden="false" customHeight="true" outlineLevel="0" collapsed="false">
      <c r="A26" s="2" t="s">
        <v>67</v>
      </c>
      <c r="B26" s="7" t="n">
        <f aca="false">D18</f>
        <v>36.582708</v>
      </c>
      <c r="C26" s="4" t="s">
        <v>68</v>
      </c>
      <c r="D26" s="7" t="n">
        <f aca="false">(D16*1728)^(1/3)*0.62</f>
        <v>14.181148</v>
      </c>
      <c r="E26" s="4" t="s">
        <v>69</v>
      </c>
      <c r="F26" s="3" t="n">
        <v>90</v>
      </c>
      <c r="G26" s="3" t="n">
        <f aca="false">F26/$B$7</f>
        <v>1.6363636</v>
      </c>
      <c r="H26" s="3" t="n">
        <f aca="false">20*LOG10(G26^4/SQRT(((G26^4-$G$6*G26^2+$G$4)^2)+($G$5*G26-$G$7*G26^3)^2))</f>
        <v>3.33687696871871</v>
      </c>
      <c r="K26" s="3" t="n">
        <v>90</v>
      </c>
      <c r="L26" s="3" t="n">
        <f aca="false">K26/$B$7</f>
        <v>1.6363636</v>
      </c>
      <c r="M26" s="3" t="n">
        <f aca="false">20*LOG10(L26^4/SQRT(((L26^4-$L$6*L26^2+$L$4)^2)+($L$5*L26-$L$7*L26^3)^2))</f>
        <v>2.96676745746755</v>
      </c>
      <c r="AA26" s="2" t="s">
        <v>44</v>
      </c>
      <c r="AB26" s="7" t="n">
        <f aca="false">$B$16</f>
        <v>1.125</v>
      </c>
      <c r="AC26" s="2" t="s">
        <v>45</v>
      </c>
      <c r="AD26" s="7" t="n">
        <f aca="false">$D$16</f>
        <v>6.9249293</v>
      </c>
      <c r="AE26" s="4" t="s">
        <v>46</v>
      </c>
      <c r="AL26" s="4" t="s">
        <v>70</v>
      </c>
    </row>
    <row r="27" customFormat="false" ht="16" hidden="false" customHeight="true" outlineLevel="0" collapsed="false">
      <c r="A27" s="2" t="s">
        <v>71</v>
      </c>
      <c r="B27" s="7" t="n">
        <v>42.661455</v>
      </c>
      <c r="C27" s="4" t="s">
        <v>72</v>
      </c>
      <c r="D27" s="7" t="n">
        <f aca="false">(D16*1728)^(1/3)*1.62</f>
        <v>37.053967</v>
      </c>
      <c r="E27" s="4" t="s">
        <v>69</v>
      </c>
      <c r="F27" s="3" t="n">
        <v>95</v>
      </c>
      <c r="G27" s="3" t="n">
        <f aca="false">F27/$B$7</f>
        <v>1.7272727</v>
      </c>
      <c r="H27" s="3" t="n">
        <f aca="false">20*LOG10(G27^4/SQRT(((G27^4-$G$6*G27^2+$G$4)^2)+($G$5*G27-$G$7*G27^3)^2))</f>
        <v>3.77155447405401</v>
      </c>
      <c r="K27" s="3" t="n">
        <v>95</v>
      </c>
      <c r="L27" s="3" t="n">
        <f aca="false">K27/$B$7</f>
        <v>1.7272727</v>
      </c>
      <c r="M27" s="3" t="n">
        <f aca="false">20*LOG10(L27^4/SQRT(((L27^4-$L$6*L27^2+$L$4)^2)+($L$5*L27-$L$7*L27^3)^2))</f>
        <v>2.75736096864406</v>
      </c>
      <c r="AA27" s="2" t="s">
        <v>48</v>
      </c>
      <c r="AB27" s="7" t="n">
        <f aca="false">$B$17</f>
        <v>91.666667</v>
      </c>
      <c r="AC27" s="2" t="s">
        <v>49</v>
      </c>
      <c r="AD27" s="7" t="n">
        <f aca="false">$D$17</f>
        <v>29.236426</v>
      </c>
      <c r="AE27" s="4" t="s">
        <v>50</v>
      </c>
      <c r="AL27" s="4" t="s">
        <v>66</v>
      </c>
    </row>
    <row r="28" customFormat="false" ht="16" hidden="false" customHeight="true" outlineLevel="0" collapsed="false">
      <c r="A28" s="4"/>
      <c r="B28" s="4"/>
      <c r="C28" s="4"/>
      <c r="D28" s="4"/>
      <c r="E28" s="4"/>
      <c r="F28" s="3" t="n">
        <v>100</v>
      </c>
      <c r="G28" s="3" t="n">
        <f aca="false">F28/$B$7</f>
        <v>1.8181818</v>
      </c>
      <c r="H28" s="3" t="n">
        <f aca="false">20*LOG10(G28^4/SQRT(((G28^4-$G$6*G28^2+$G$4)^2)+($G$5*G28-$G$7*G28^3)^2))</f>
        <v>3.98144448118182</v>
      </c>
      <c r="K28" s="3" t="n">
        <v>100</v>
      </c>
      <c r="L28" s="3" t="n">
        <f aca="false">K28/$B$7</f>
        <v>1.8181818</v>
      </c>
      <c r="M28" s="3" t="n">
        <f aca="false">20*LOG10(L28^4/SQRT(((L28^4-$L$6*L28^2+$L$4)^2)+($L$5*L28-$L$7*L28^3)^2))</f>
        <v>2.55561532115032</v>
      </c>
      <c r="AA28" s="2" t="s">
        <v>52</v>
      </c>
      <c r="AB28" s="7" t="n">
        <f aca="false">$B$18</f>
        <v>72.416667</v>
      </c>
      <c r="AC28" s="2" t="s">
        <v>53</v>
      </c>
      <c r="AD28" s="7" t="n">
        <f aca="false">$D$18</f>
        <v>36.582708</v>
      </c>
      <c r="AE28" s="4" t="s">
        <v>50</v>
      </c>
      <c r="AL28" s="4" t="s">
        <v>62</v>
      </c>
    </row>
    <row r="29" customFormat="false" ht="16" hidden="false" customHeight="true" outlineLevel="0" collapsed="false">
      <c r="A29" s="4"/>
      <c r="B29" s="4"/>
      <c r="C29" s="4"/>
      <c r="D29" s="4"/>
      <c r="E29" s="4"/>
      <c r="F29" s="3" t="n">
        <v>105</v>
      </c>
      <c r="G29" s="3" t="n">
        <f aca="false">F29/$B$7</f>
        <v>1.9090909</v>
      </c>
      <c r="H29" s="3" t="n">
        <f aca="false">20*LOG10(G29^4/SQRT(((G29^4-$G$6*G29^2+$G$4)^2)+($G$5*G29-$G$7*G29^3)^2))</f>
        <v>4.02318965384912</v>
      </c>
      <c r="K29" s="3" t="n">
        <v>105</v>
      </c>
      <c r="L29" s="3" t="n">
        <f aca="false">K29/$B$7</f>
        <v>1.9090909</v>
      </c>
      <c r="M29" s="3" t="n">
        <f aca="false">20*LOG10(L29^4/SQRT(((L29^4-$L$6*L29^2+$L$4)^2)+($L$5*L29-$L$7*L29^3)^2))</f>
        <v>2.36629396697525</v>
      </c>
      <c r="AL29" s="4" t="s">
        <v>61</v>
      </c>
    </row>
    <row r="30" customFormat="false" ht="16" hidden="false" customHeight="true" outlineLevel="0" collapsed="false">
      <c r="A30" s="2" t="s">
        <v>73</v>
      </c>
      <c r="B30" s="7" t="n">
        <f aca="false">(B27/A43)-0.83*SQRT(A43)</f>
        <v>10.904373</v>
      </c>
      <c r="C30" s="2" t="s">
        <v>74</v>
      </c>
      <c r="D30" s="4"/>
      <c r="E30" s="4"/>
      <c r="F30" s="3" t="n">
        <v>110</v>
      </c>
      <c r="G30" s="3" t="n">
        <f aca="false">F30/$B$7</f>
        <v>2</v>
      </c>
      <c r="H30" s="3" t="n">
        <f aca="false">20*LOG10(G30^4/SQRT(((G30^4-$G$6*G30^2+$G$4)^2)+($G$5*G30-$G$7*G30^3)^2))</f>
        <v>3.95169285564282</v>
      </c>
      <c r="K30" s="3" t="n">
        <v>110</v>
      </c>
      <c r="L30" s="3" t="n">
        <f aca="false">K30/$B$7</f>
        <v>2</v>
      </c>
      <c r="M30" s="3" t="n">
        <f aca="false">20*LOG10(L30^4/SQRT(((L30^4-$L$6*L30^2+$L$4)^2)+($L$5*L30-$L$7*L30^3)^2))</f>
        <v>2.1913379401594</v>
      </c>
      <c r="AA30" s="3"/>
      <c r="AB30" s="3"/>
      <c r="AC30" s="3"/>
      <c r="AD30" s="3"/>
      <c r="AE30" s="3"/>
      <c r="AL30" s="4" t="s">
        <v>75</v>
      </c>
    </row>
    <row r="31" customFormat="false" ht="16" hidden="false" customHeight="true" outlineLevel="0" collapsed="false">
      <c r="A31" s="4"/>
      <c r="B31" s="4"/>
      <c r="C31" s="4"/>
      <c r="D31" s="4"/>
      <c r="E31" s="4"/>
      <c r="F31" s="3" t="n">
        <v>115</v>
      </c>
      <c r="G31" s="3" t="n">
        <f aca="false">F31/$B$7</f>
        <v>2.0909091</v>
      </c>
      <c r="H31" s="3" t="n">
        <f aca="false">20*LOG10(G31^4/SQRT(((G31^4-$G$6*G31^2+$G$4)^2)+($G$5*G31-$G$7*G31^3)^2))</f>
        <v>3.81121272918819</v>
      </c>
      <c r="K31" s="3" t="n">
        <v>115</v>
      </c>
      <c r="L31" s="3" t="n">
        <f aca="false">K31/$B$7</f>
        <v>2.0909091</v>
      </c>
      <c r="M31" s="3" t="n">
        <f aca="false">20*LOG10(L31^4/SQRT(((L31^4-$L$6*L31^2+$L$4)^2)+($L$5*L31-$L$7*L31^3)^2))</f>
        <v>2.03109342723967</v>
      </c>
      <c r="AL31" s="4" t="s">
        <v>76</v>
      </c>
    </row>
    <row r="32" customFormat="false" ht="16" hidden="false" customHeight="true" outlineLevel="0" collapsed="false">
      <c r="A32" s="4"/>
      <c r="B32" s="4"/>
      <c r="C32" s="4"/>
      <c r="D32" s="4"/>
      <c r="E32" s="4"/>
      <c r="F32" s="3" t="n">
        <v>120</v>
      </c>
      <c r="G32" s="3" t="n">
        <f aca="false">F32/$B$7</f>
        <v>2.1818182</v>
      </c>
      <c r="H32" s="3" t="n">
        <f aca="false">20*LOG10(G32^4/SQRT(((G32^4-$G$6*G32^2+$G$4)^2)+($G$5*G32-$G$7*G32^3)^2))</f>
        <v>3.63343872303332</v>
      </c>
      <c r="K32" s="3" t="n">
        <v>120</v>
      </c>
      <c r="L32" s="3" t="n">
        <f aca="false">K32/$B$7</f>
        <v>2.1818182</v>
      </c>
      <c r="M32" s="3" t="n">
        <f aca="false">20*LOG10(L32^4/SQRT(((L32^4-$L$6*L32^2+$L$4)^2)+($L$5*L32-$L$7*L32^3)^2))</f>
        <v>1.88505230991881</v>
      </c>
      <c r="AL32" s="4" t="s">
        <v>77</v>
      </c>
    </row>
    <row r="33" customFormat="false" ht="16" hidden="false" customHeight="true" outlineLevel="0" collapsed="false">
      <c r="A33" s="4"/>
      <c r="B33" s="4"/>
      <c r="C33" s="4"/>
      <c r="D33" s="4"/>
      <c r="E33" s="4"/>
      <c r="F33" s="3" t="n">
        <v>125</v>
      </c>
      <c r="G33" s="3" t="n">
        <f aca="false">F33/$B$7</f>
        <v>2.2727273</v>
      </c>
      <c r="H33" s="3" t="n">
        <f aca="false">20*LOG10(G33^4/SQRT(((G33^4-$G$6*G33^2+$G$4)^2)+($G$5*G33-$G$7*G33^3)^2))</f>
        <v>3.43931326258243</v>
      </c>
      <c r="K33" s="3" t="n">
        <v>125</v>
      </c>
      <c r="L33" s="3" t="n">
        <f aca="false">K33/$B$7</f>
        <v>2.2727273</v>
      </c>
      <c r="M33" s="3" t="n">
        <f aca="false">20*LOG10(L33^4/SQRT(((L33^4-$L$6*L33^2+$L$4)^2)+($L$5*L33-$L$7*L33^3)^2))</f>
        <v>1.75228617797169</v>
      </c>
      <c r="AA33" s="4" t="s">
        <v>78</v>
      </c>
      <c r="AB33" s="8"/>
      <c r="AC33" s="8"/>
      <c r="AD33" s="8"/>
      <c r="AE33" s="8"/>
      <c r="AL33" s="4" t="s">
        <v>79</v>
      </c>
    </row>
    <row r="34" customFormat="false" ht="16" hidden="false" customHeight="true" outlineLevel="0" collapsed="false">
      <c r="A34" s="2" t="s">
        <v>80</v>
      </c>
      <c r="B34" s="7" t="n">
        <v>-10</v>
      </c>
      <c r="C34" s="4" t="s">
        <v>81</v>
      </c>
      <c r="D34" s="4"/>
      <c r="E34" s="4"/>
      <c r="F34" s="3" t="n">
        <v>130</v>
      </c>
      <c r="G34" s="3" t="n">
        <f aca="false">F34/$B$7</f>
        <v>2.3636364</v>
      </c>
      <c r="H34" s="3" t="n">
        <f aca="false">20*LOG10(G34^4/SQRT(((G34^4-$G$6*G34^2+$G$4)^2)+($G$5*G34-$G$7*G34^3)^2))</f>
        <v>3.24187555260777</v>
      </c>
      <c r="K34" s="3" t="n">
        <v>130</v>
      </c>
      <c r="L34" s="3" t="n">
        <f aca="false">K34/$B$7</f>
        <v>2.3636364</v>
      </c>
      <c r="M34" s="3" t="n">
        <f aca="false">20*LOG10(L34^4/SQRT(((L34^4-$L$6*L34^2+$L$4)^2)+($L$5*L34-$L$7*L34^3)^2))</f>
        <v>1.63169455018331</v>
      </c>
      <c r="AA34" s="8"/>
      <c r="AB34" s="8"/>
      <c r="AC34" s="8"/>
      <c r="AD34" s="8"/>
      <c r="AE34" s="8"/>
      <c r="AL34" s="4" t="s">
        <v>82</v>
      </c>
    </row>
    <row r="35" customFormat="false" ht="16" hidden="false" customHeight="true" outlineLevel="0" collapsed="false">
      <c r="A35" s="2" t="s">
        <v>83</v>
      </c>
      <c r="B35" s="7" t="n">
        <v>2</v>
      </c>
      <c r="C35" s="4" t="s">
        <v>84</v>
      </c>
      <c r="D35" s="4"/>
      <c r="E35" s="4"/>
      <c r="F35" s="3" t="n">
        <v>135</v>
      </c>
      <c r="G35" s="3" t="n">
        <f aca="false">F35/$B$7</f>
        <v>2.4545455</v>
      </c>
      <c r="H35" s="3" t="n">
        <f aca="false">20*LOG10(G35^4/SQRT(((G35^4-$G$6*G35^2+$G$4)^2)+($G$5*G35-$G$7*G35^3)^2))</f>
        <v>3.04881672769035</v>
      </c>
      <c r="K35" s="3" t="n">
        <v>135</v>
      </c>
      <c r="L35" s="3" t="n">
        <f aca="false">K35/$B$7</f>
        <v>2.4545455</v>
      </c>
      <c r="M35" s="3" t="n">
        <f aca="false">20*LOG10(L35^4/SQRT(((L35^4-$L$6*L35^2+$L$4)^2)+($L$5*L35-$L$7*L35^3)^2))</f>
        <v>1.52214281112343</v>
      </c>
      <c r="AA35" s="8"/>
      <c r="AB35" s="8"/>
      <c r="AC35" s="8"/>
      <c r="AD35" s="8"/>
      <c r="AE35" s="8"/>
      <c r="AL35" s="4" t="s">
        <v>79</v>
      </c>
    </row>
    <row r="36" customFormat="false" ht="16" hidden="false" customHeight="true" outlineLevel="0" collapsed="false">
      <c r="A36" s="2" t="s">
        <v>85</v>
      </c>
      <c r="B36" s="7" t="n">
        <v>45</v>
      </c>
      <c r="C36" s="4" t="s">
        <v>86</v>
      </c>
      <c r="D36" s="4"/>
      <c r="E36" s="4"/>
      <c r="F36" s="3" t="n">
        <v>140</v>
      </c>
      <c r="G36" s="3" t="n">
        <f aca="false">F36/$B$7</f>
        <v>2.5454545</v>
      </c>
      <c r="H36" s="3" t="n">
        <f aca="false">20*LOG10(G36^4/SQRT(((G36^4-$G$6*G36^2+$G$4)^2)+($G$5*G36-$G$7*G36^3)^2))</f>
        <v>2.8643851459795</v>
      </c>
      <c r="K36" s="3" t="n">
        <v>140</v>
      </c>
      <c r="L36" s="3" t="n">
        <f aca="false">K36/$B$7</f>
        <v>2.5454545</v>
      </c>
      <c r="M36" s="3" t="n">
        <f aca="false">20*LOG10(L36^4/SQRT(((L36^4-$L$6*L36^2+$L$4)^2)+($L$5*L36-$L$7*L36^3)^2))</f>
        <v>1.42253567900808</v>
      </c>
      <c r="AA36" s="8"/>
      <c r="AB36" s="8"/>
      <c r="AC36" s="8"/>
      <c r="AD36" s="8"/>
      <c r="AE36" s="8"/>
      <c r="AL36" s="4" t="s">
        <v>77</v>
      </c>
    </row>
    <row r="37" customFormat="false" ht="16" hidden="false" customHeight="true" outlineLevel="0" collapsed="false">
      <c r="A37" s="4"/>
      <c r="B37" s="4"/>
      <c r="C37" s="4"/>
      <c r="D37" s="4"/>
      <c r="E37" s="4"/>
      <c r="F37" s="3" t="n">
        <v>145</v>
      </c>
      <c r="G37" s="3" t="n">
        <f aca="false">F37/$B$7</f>
        <v>2.6363636</v>
      </c>
      <c r="H37" s="3" t="n">
        <f aca="false">20*LOG10(G37^4/SQRT(((G37^4-$G$6*G37^2+$G$4)^2)+($G$5*G37-$G$7*G37^3)^2))</f>
        <v>2.69068461060944</v>
      </c>
      <c r="K37" s="3" t="n">
        <v>145</v>
      </c>
      <c r="L37" s="3" t="n">
        <f aca="false">K37/$B$7</f>
        <v>2.6363636</v>
      </c>
      <c r="M37" s="3" t="n">
        <f aca="false">20*LOG10(L37^4/SQRT(((L37^4-$L$6*L37^2+$L$4)^2)+($L$5*L37-$L$7*L37^3)^2))</f>
        <v>1.33185279653207</v>
      </c>
      <c r="AA37" s="8"/>
      <c r="AB37" s="8"/>
      <c r="AC37" s="8"/>
      <c r="AD37" s="8"/>
      <c r="AE37" s="8"/>
      <c r="AL37" s="4" t="s">
        <v>75</v>
      </c>
    </row>
    <row r="38" customFormat="false" ht="16" hidden="false" customHeight="true" outlineLevel="0" collapsed="false">
      <c r="A38" s="4"/>
      <c r="B38" s="4"/>
      <c r="C38" s="4"/>
      <c r="D38" s="4"/>
      <c r="E38" s="4"/>
      <c r="F38" s="3" t="n">
        <v>150</v>
      </c>
      <c r="G38" s="3" t="n">
        <f aca="false">F38/$B$7</f>
        <v>2.7272727</v>
      </c>
      <c r="H38" s="3" t="n">
        <f aca="false">20*LOG10(G38^4/SQRT(((G38^4-$G$6*G38^2+$G$4)^2)+($G$5*G38-$G$7*G38^3)^2))</f>
        <v>2.528520084164</v>
      </c>
      <c r="K38" s="3" t="n">
        <v>150</v>
      </c>
      <c r="L38" s="3" t="n">
        <f aca="false">K38/$B$7</f>
        <v>2.7272727</v>
      </c>
      <c r="M38" s="3" t="n">
        <f aca="false">20*LOG10(L38^4/SQRT(((L38^4-$L$6*L38^2+$L$4)^2)+($L$5*L38-$L$7*L38^3)^2))</f>
        <v>1.24916414239032</v>
      </c>
      <c r="AA38" s="8"/>
      <c r="AB38" s="8"/>
      <c r="AC38" s="8"/>
      <c r="AD38" s="8"/>
      <c r="AE38" s="8"/>
      <c r="AK38" s="3" t="str">
        <f aca="false">CHAR(24)&amp;CHAR(25)</f>
        <v>_x005F_x0018__x005F_x0019_</v>
      </c>
      <c r="AL38" s="4" t="s">
        <v>75</v>
      </c>
      <c r="AM38" s="2" t="s">
        <v>87</v>
      </c>
    </row>
    <row r="39" customFormat="false" ht="16" hidden="false" customHeight="true" outlineLevel="0" collapsed="false">
      <c r="A39" s="2" t="s">
        <v>88</v>
      </c>
      <c r="B39" s="7" t="n">
        <f aca="false">-B34*((2*B35)/B36)</f>
        <v>0.88888889</v>
      </c>
      <c r="C39" s="4" t="s">
        <v>89</v>
      </c>
      <c r="D39" s="4"/>
      <c r="E39" s="4"/>
      <c r="AA39" s="8"/>
      <c r="AB39" s="8"/>
      <c r="AC39" s="8"/>
      <c r="AD39" s="8"/>
      <c r="AE39" s="8"/>
      <c r="AL39" s="4" t="s">
        <v>76</v>
      </c>
    </row>
    <row r="40" customFormat="false" ht="16" hidden="false" customHeight="true" outlineLevel="0" collapsed="false">
      <c r="A40" s="4" t="s">
        <v>90</v>
      </c>
      <c r="B40" s="7" t="n">
        <v>15</v>
      </c>
      <c r="C40" s="4" t="s">
        <v>89</v>
      </c>
      <c r="D40" s="4"/>
      <c r="E40" s="4"/>
      <c r="AA40" s="8"/>
      <c r="AB40" s="8"/>
      <c r="AC40" s="8"/>
      <c r="AD40" s="8"/>
      <c r="AE40" s="8"/>
      <c r="AL40" s="4" t="s">
        <v>91</v>
      </c>
    </row>
    <row r="41" customFormat="false" ht="16" hidden="false" customHeight="true" outlineLevel="0" collapsed="false">
      <c r="B41" s="7"/>
      <c r="AA41" s="8"/>
      <c r="AB41" s="8"/>
      <c r="AC41" s="8"/>
      <c r="AD41" s="8"/>
      <c r="AE41" s="8"/>
      <c r="AL41" s="4" t="s">
        <v>92</v>
      </c>
    </row>
    <row r="42" customFormat="false" ht="16" hidden="false" customHeight="true" outlineLevel="0" collapsed="false">
      <c r="AA42" s="8"/>
      <c r="AB42" s="8"/>
      <c r="AC42" s="8"/>
      <c r="AD42" s="8"/>
      <c r="AE42" s="8"/>
      <c r="AL42" s="4" t="s">
        <v>93</v>
      </c>
    </row>
    <row r="43" customFormat="false" ht="16" hidden="false" customHeight="true" outlineLevel="0" collapsed="false">
      <c r="A43" s="3" t="n">
        <f aca="false">0.0004*B25*B26^2</f>
        <v>3.4290102</v>
      </c>
      <c r="C43" s="9" t="n">
        <f aca="true">NOW()</f>
        <v>44999.8076966551</v>
      </c>
      <c r="AA43" s="8"/>
      <c r="AB43" s="8"/>
      <c r="AC43" s="8"/>
      <c r="AD43" s="8"/>
      <c r="AE43" s="8"/>
      <c r="AL43" s="4" t="s">
        <v>94</v>
      </c>
    </row>
    <row r="44" customFormat="false" ht="16" hidden="false" customHeight="true" outlineLevel="0" collapsed="false">
      <c r="AA44" s="8"/>
      <c r="AB44" s="8"/>
      <c r="AC44" s="8"/>
      <c r="AD44" s="8"/>
      <c r="AE44" s="8"/>
      <c r="AL44" s="4" t="s">
        <v>95</v>
      </c>
    </row>
    <row r="45" customFormat="false" ht="16" hidden="false" customHeight="true" outlineLevel="0" collapsed="false">
      <c r="AA45" s="8"/>
      <c r="AB45" s="8"/>
      <c r="AC45" s="8"/>
      <c r="AD45" s="8"/>
      <c r="AE45" s="8"/>
      <c r="AL45" s="4" t="s">
        <v>96</v>
      </c>
    </row>
    <row r="46" customFormat="false" ht="16" hidden="false" customHeight="true" outlineLevel="0" collapsed="false">
      <c r="AA46" s="8"/>
      <c r="AB46" s="8"/>
      <c r="AC46" s="8"/>
      <c r="AD46" s="8"/>
      <c r="AE46" s="8"/>
      <c r="AL46" s="4" t="s">
        <v>97</v>
      </c>
    </row>
    <row r="47" customFormat="false" ht="16" hidden="false" customHeight="true" outlineLevel="0" collapsed="false">
      <c r="AA47" s="8"/>
      <c r="AB47" s="8"/>
      <c r="AC47" s="8"/>
      <c r="AD47" s="8"/>
      <c r="AE47" s="8"/>
      <c r="AL47" s="4" t="s">
        <v>98</v>
      </c>
    </row>
    <row r="48" customFormat="false" ht="16" hidden="false" customHeight="true" outlineLevel="0" collapsed="false">
      <c r="AA48" s="8"/>
      <c r="AB48" s="8"/>
      <c r="AC48" s="8"/>
      <c r="AD48" s="8"/>
      <c r="AE48" s="8"/>
      <c r="AL48" s="4" t="s">
        <v>99</v>
      </c>
    </row>
    <row r="49" customFormat="false" ht="16" hidden="false" customHeight="true" outlineLevel="0" collapsed="false">
      <c r="AA49" s="8"/>
      <c r="AB49" s="8"/>
      <c r="AC49" s="8"/>
      <c r="AD49" s="8"/>
      <c r="AE49" s="8"/>
      <c r="AL49" s="4" t="s">
        <v>100</v>
      </c>
    </row>
    <row r="50" customFormat="false" ht="16" hidden="false" customHeight="true" outlineLevel="0" collapsed="false">
      <c r="AA50" s="8"/>
      <c r="AB50" s="8"/>
      <c r="AC50" s="8"/>
      <c r="AD50" s="8"/>
      <c r="AE50" s="8"/>
      <c r="AL50" s="4" t="s">
        <v>101</v>
      </c>
    </row>
    <row r="51" customFormat="false" ht="16" hidden="false" customHeight="true" outlineLevel="0" collapsed="false">
      <c r="AA51" s="8"/>
      <c r="AB51" s="8"/>
      <c r="AC51" s="8"/>
      <c r="AD51" s="8"/>
      <c r="AE51" s="8"/>
      <c r="AL51" s="4" t="s">
        <v>100</v>
      </c>
    </row>
    <row r="52" customFormat="false" ht="16" hidden="false" customHeight="true" outlineLevel="0" collapsed="false">
      <c r="AA52" s="8"/>
      <c r="AB52" s="8"/>
      <c r="AC52" s="8"/>
      <c r="AD52" s="8"/>
      <c r="AE52" s="8"/>
      <c r="AL52" s="4" t="s">
        <v>100</v>
      </c>
    </row>
    <row r="53" customFormat="false" ht="16" hidden="false" customHeight="true" outlineLevel="0" collapsed="false">
      <c r="AA53" s="8"/>
      <c r="AB53" s="8"/>
      <c r="AC53" s="8"/>
      <c r="AD53" s="8"/>
      <c r="AE53" s="8"/>
      <c r="AL53" s="4" t="s">
        <v>100</v>
      </c>
    </row>
    <row r="54" customFormat="false" ht="16" hidden="false" customHeight="true" outlineLevel="0" collapsed="false">
      <c r="AA54" s="8"/>
      <c r="AB54" s="8"/>
      <c r="AC54" s="8"/>
      <c r="AD54" s="8"/>
      <c r="AE54" s="8"/>
      <c r="AL54" s="4" t="s">
        <v>100</v>
      </c>
    </row>
    <row r="55" customFormat="false" ht="16" hidden="false" customHeight="true" outlineLevel="0" collapsed="false">
      <c r="AK55" s="3" t="str">
        <f aca="false">CHAR(24)&amp;CHAR(25)</f>
        <v>_x005F_x0018__x005F_x0019_</v>
      </c>
      <c r="AL55" s="4" t="s">
        <v>102</v>
      </c>
    </row>
    <row r="56" customFormat="false" ht="16" hidden="false" customHeight="true" outlineLevel="0" collapsed="false">
      <c r="AL56" s="4" t="s">
        <v>103</v>
      </c>
    </row>
    <row r="57" customFormat="false" ht="16" hidden="false" customHeight="true" outlineLevel="0" collapsed="false">
      <c r="AL57" s="4" t="s">
        <v>104</v>
      </c>
    </row>
    <row r="58" customFormat="false" ht="16" hidden="false" customHeight="true" outlineLevel="0" collapsed="false">
      <c r="AL58" s="4" t="s">
        <v>105</v>
      </c>
    </row>
    <row r="59" customFormat="false" ht="16" hidden="false" customHeight="true" outlineLevel="0" collapsed="false">
      <c r="AL59" s="4" t="s">
        <v>106</v>
      </c>
    </row>
    <row r="60" customFormat="false" ht="16" hidden="false" customHeight="true" outlineLevel="0" collapsed="false">
      <c r="AL60" s="4" t="s">
        <v>105</v>
      </c>
    </row>
    <row r="61" customFormat="false" ht="16" hidden="false" customHeight="true" outlineLevel="0" collapsed="false">
      <c r="F61" s="4" t="s">
        <v>107</v>
      </c>
      <c r="H61" s="4" t="s">
        <v>108</v>
      </c>
      <c r="AL61" s="4" t="s">
        <v>104</v>
      </c>
    </row>
    <row r="62" customFormat="false" ht="16" hidden="false" customHeight="true" outlineLevel="0" collapsed="false">
      <c r="A62" s="3"/>
      <c r="B62" s="3"/>
      <c r="C62" s="3"/>
      <c r="D62" s="3"/>
      <c r="E62" s="3"/>
      <c r="AL62" s="4" t="s">
        <v>100</v>
      </c>
    </row>
    <row r="63" customFormat="false" ht="16" hidden="false" customHeight="true" outlineLevel="0" collapsed="false">
      <c r="A63" s="3"/>
      <c r="B63" s="3"/>
      <c r="C63" s="4" t="s">
        <v>22</v>
      </c>
      <c r="D63" s="3"/>
      <c r="E63" s="3"/>
      <c r="AL63" s="4" t="s">
        <v>100</v>
      </c>
    </row>
    <row r="64" customFormat="false" ht="16" hidden="false" customHeight="true" outlineLevel="0" collapsed="false">
      <c r="A64" s="4"/>
      <c r="B64" s="4"/>
      <c r="C64" s="4"/>
      <c r="D64" s="4"/>
      <c r="E64" s="4"/>
      <c r="AL64" s="4" t="s">
        <v>103</v>
      </c>
    </row>
    <row r="65" customFormat="false" ht="16" hidden="false" customHeight="true" outlineLevel="0" collapsed="false">
      <c r="A65" s="4"/>
      <c r="B65" s="4"/>
      <c r="C65" s="4"/>
      <c r="D65" s="4"/>
      <c r="E65" s="4"/>
      <c r="AL65" s="4" t="s">
        <v>109</v>
      </c>
    </row>
    <row r="66" customFormat="false" ht="16" hidden="false" customHeight="true" outlineLevel="0" collapsed="false">
      <c r="A66" s="4"/>
      <c r="B66" s="4" t="s">
        <v>110</v>
      </c>
      <c r="C66" s="4" t="s">
        <v>22</v>
      </c>
      <c r="D66" s="4" t="s">
        <v>22</v>
      </c>
      <c r="E66" s="4"/>
      <c r="AL66" s="4" t="s">
        <v>111</v>
      </c>
    </row>
    <row r="67" customFormat="false" ht="16" hidden="false" customHeight="true" outlineLevel="0" collapsed="false">
      <c r="A67" s="4"/>
      <c r="B67" s="4"/>
      <c r="C67" s="4"/>
      <c r="D67" s="4"/>
      <c r="E67" s="4"/>
      <c r="AL67" s="4" t="s">
        <v>112</v>
      </c>
    </row>
    <row r="68" customFormat="false" ht="16" hidden="false" customHeight="true" outlineLevel="0" collapsed="false">
      <c r="A68" s="4"/>
      <c r="B68" s="4"/>
      <c r="C68" s="4"/>
      <c r="D68" s="4"/>
      <c r="E68" s="4"/>
      <c r="AL68" s="4" t="s">
        <v>113</v>
      </c>
    </row>
    <row r="69" customFormat="false" ht="16" hidden="false" customHeight="true" outlineLevel="0" collapsed="false">
      <c r="A69" s="4"/>
      <c r="B69" s="4"/>
      <c r="C69" s="4"/>
      <c r="D69" s="4"/>
      <c r="E69" s="4"/>
      <c r="AL69" s="4" t="s">
        <v>114</v>
      </c>
    </row>
    <row r="70" customFormat="false" ht="16" hidden="false" customHeight="true" outlineLevel="0" collapsed="false">
      <c r="A70" s="4"/>
      <c r="B70" s="4" t="s">
        <v>115</v>
      </c>
      <c r="C70" s="3"/>
      <c r="D70" s="4" t="s">
        <v>22</v>
      </c>
      <c r="E70" s="4"/>
      <c r="AL70" s="4" t="s">
        <v>116</v>
      </c>
    </row>
    <row r="71" customFormat="false" ht="16" hidden="false" customHeight="true" outlineLevel="0" collapsed="false">
      <c r="A71" s="4"/>
      <c r="B71" s="4" t="s">
        <v>22</v>
      </c>
      <c r="C71" s="4" t="s">
        <v>22</v>
      </c>
      <c r="D71" s="4" t="s">
        <v>22</v>
      </c>
      <c r="E71" s="4"/>
      <c r="AL71" s="4" t="s">
        <v>117</v>
      </c>
    </row>
    <row r="72" customFormat="false" ht="16" hidden="false" customHeight="true" outlineLevel="0" collapsed="false">
      <c r="A72" s="4"/>
      <c r="B72" s="4" t="s">
        <v>118</v>
      </c>
      <c r="C72" s="4" t="s">
        <v>22</v>
      </c>
      <c r="D72" s="4" t="s">
        <v>22</v>
      </c>
      <c r="E72" s="4"/>
      <c r="AK72" s="3" t="str">
        <f aca="false">CHAR(24)&amp;CHAR(25)</f>
        <v>_x005F_x0018__x005F_x0019_</v>
      </c>
      <c r="AL72" s="4" t="s">
        <v>119</v>
      </c>
      <c r="AM72" s="2" t="s">
        <v>120</v>
      </c>
    </row>
    <row r="73" customFormat="false" ht="16" hidden="false" customHeight="true" outlineLevel="0" collapsed="false">
      <c r="A73" s="4"/>
      <c r="B73" s="2" t="s">
        <v>121</v>
      </c>
      <c r="C73" s="4" t="s">
        <v>22</v>
      </c>
      <c r="D73" s="4" t="s">
        <v>22</v>
      </c>
      <c r="E73" s="4"/>
      <c r="AL73" s="4" t="s">
        <v>122</v>
      </c>
    </row>
    <row r="74" customFormat="false" ht="16" hidden="false" customHeight="true" outlineLevel="0" collapsed="false">
      <c r="A74" s="4"/>
      <c r="B74" s="2" t="s">
        <v>123</v>
      </c>
      <c r="C74" s="4" t="s">
        <v>22</v>
      </c>
      <c r="D74" s="4" t="s">
        <v>22</v>
      </c>
      <c r="E74" s="4"/>
      <c r="AL74" s="4" t="s">
        <v>124</v>
      </c>
    </row>
    <row r="75" customFormat="false" ht="16" hidden="false" customHeight="true" outlineLevel="0" collapsed="false">
      <c r="A75" s="4"/>
      <c r="B75" s="4"/>
      <c r="C75" s="4"/>
      <c r="D75" s="4"/>
      <c r="E75" s="4"/>
      <c r="AL75" s="4" t="s">
        <v>125</v>
      </c>
    </row>
    <row r="76" customFormat="false" ht="16" hidden="false" customHeight="true" outlineLevel="0" collapsed="false">
      <c r="A76" s="4"/>
      <c r="B76" s="4"/>
      <c r="C76" s="4"/>
      <c r="D76" s="4"/>
      <c r="E76" s="4"/>
      <c r="AL76" s="4" t="s">
        <v>126</v>
      </c>
    </row>
    <row r="77" customFormat="false" ht="16" hidden="false" customHeight="true" outlineLevel="0" collapsed="false">
      <c r="A77" s="3"/>
      <c r="B77" s="3"/>
      <c r="C77" s="4" t="s">
        <v>22</v>
      </c>
      <c r="D77" s="4" t="s">
        <v>22</v>
      </c>
      <c r="E77" s="3"/>
      <c r="AL77" s="4" t="s">
        <v>127</v>
      </c>
    </row>
    <row r="78" customFormat="false" ht="16" hidden="false" customHeight="true" outlineLevel="0" collapsed="false">
      <c r="A78" s="3"/>
      <c r="B78" s="3"/>
      <c r="C78" s="4" t="s">
        <v>22</v>
      </c>
      <c r="D78" s="4" t="s">
        <v>22</v>
      </c>
      <c r="E78" s="3"/>
      <c r="AL78" s="4" t="s">
        <v>128</v>
      </c>
    </row>
    <row r="79" customFormat="false" ht="16" hidden="false" customHeight="true" outlineLevel="0" collapsed="false">
      <c r="A79" s="3"/>
      <c r="B79" s="4" t="s">
        <v>22</v>
      </c>
      <c r="C79" s="4" t="s">
        <v>22</v>
      </c>
      <c r="D79" s="4" t="s">
        <v>22</v>
      </c>
      <c r="E79" s="3"/>
      <c r="AL79" s="4" t="s">
        <v>129</v>
      </c>
    </row>
    <row r="80" customFormat="false" ht="16" hidden="false" customHeight="true" outlineLevel="0" collapsed="false">
      <c r="AL80" s="4" t="s">
        <v>130</v>
      </c>
    </row>
    <row r="81" customFormat="false" ht="16" hidden="false" customHeight="true" outlineLevel="0" collapsed="false">
      <c r="AL81" s="4" t="s">
        <v>131</v>
      </c>
    </row>
    <row r="82" customFormat="false" ht="16" hidden="false" customHeight="true" outlineLevel="0" collapsed="false">
      <c r="AL82" s="4" t="s">
        <v>128</v>
      </c>
    </row>
    <row r="83" customFormat="false" ht="16" hidden="false" customHeight="true" outlineLevel="0" collapsed="false">
      <c r="AL83" s="4" t="s">
        <v>127</v>
      </c>
    </row>
    <row r="84" customFormat="false" ht="16" hidden="false" customHeight="true" outlineLevel="0" collapsed="false">
      <c r="AL84" s="4" t="s">
        <v>124</v>
      </c>
    </row>
    <row r="85" customFormat="false" ht="16" hidden="false" customHeight="true" outlineLevel="0" collapsed="false">
      <c r="AL85" s="4" t="s">
        <v>132</v>
      </c>
    </row>
    <row r="86" customFormat="false" ht="16" hidden="false" customHeight="true" outlineLevel="0" collapsed="false">
      <c r="AL86" s="4" t="s">
        <v>133</v>
      </c>
    </row>
    <row r="87" customFormat="false" ht="16" hidden="false" customHeight="true" outlineLevel="0" collapsed="false">
      <c r="AL87" s="4" t="s">
        <v>133</v>
      </c>
    </row>
    <row r="88" customFormat="false" ht="16" hidden="false" customHeight="true" outlineLevel="0" collapsed="false">
      <c r="AL88" s="4" t="s">
        <v>133</v>
      </c>
    </row>
    <row r="89" customFormat="false" ht="16" hidden="false" customHeight="true" outlineLevel="0" collapsed="false">
      <c r="AK89" s="3" t="str">
        <f aca="false">CHAR(24)&amp;CHAR(25)</f>
        <v>_x005F_x0018__x005F_x0019_</v>
      </c>
      <c r="AL89" s="4" t="s">
        <v>133</v>
      </c>
      <c r="AM89" s="2" t="s">
        <v>134</v>
      </c>
    </row>
    <row r="90" customFormat="false" ht="16" hidden="false" customHeight="true" outlineLevel="0" collapsed="false">
      <c r="AL90" s="4" t="s">
        <v>135</v>
      </c>
    </row>
    <row r="91" customFormat="false" ht="16" hidden="false" customHeight="true" outlineLevel="0" collapsed="false">
      <c r="AL91" s="4" t="s">
        <v>136</v>
      </c>
    </row>
    <row r="92" customFormat="false" ht="16" hidden="false" customHeight="true" outlineLevel="0" collapsed="false">
      <c r="AL92" s="4" t="s">
        <v>137</v>
      </c>
    </row>
    <row r="93" customFormat="false" ht="16" hidden="false" customHeight="true" outlineLevel="0" collapsed="false">
      <c r="AL93" s="4" t="s">
        <v>138</v>
      </c>
    </row>
    <row r="94" customFormat="false" ht="16" hidden="false" customHeight="true" outlineLevel="0" collapsed="false">
      <c r="AL94" s="4" t="s">
        <v>139</v>
      </c>
    </row>
    <row r="95" customFormat="false" ht="16" hidden="false" customHeight="true" outlineLevel="0" collapsed="false">
      <c r="AL95" s="4" t="s">
        <v>138</v>
      </c>
    </row>
    <row r="96" customFormat="false" ht="16" hidden="false" customHeight="true" outlineLevel="0" collapsed="false">
      <c r="AL96" s="4" t="s">
        <v>137</v>
      </c>
    </row>
    <row r="97" customFormat="false" ht="16" hidden="false" customHeight="true" outlineLevel="0" collapsed="false">
      <c r="AL97" s="4" t="s">
        <v>136</v>
      </c>
    </row>
    <row r="98" customFormat="false" ht="16" hidden="false" customHeight="true" outlineLevel="0" collapsed="false"/>
    <row r="99" customFormat="false" ht="16" hidden="false" customHeight="true" outlineLevel="0" collapsed="false"/>
    <row r="100" customFormat="false" ht="16" hidden="false" customHeight="true" outlineLevel="0" collapsed="false"/>
    <row r="101" customFormat="false" ht="16" hidden="false" customHeight="true" outlineLevel="0" collapsed="false"/>
    <row r="102" customFormat="false" ht="16" hidden="false" customHeight="true" outlineLevel="0" collapsed="false"/>
    <row r="103" customFormat="false" ht="16" hidden="false" customHeight="true" outlineLevel="0" collapsed="false"/>
    <row r="104" customFormat="false" ht="16" hidden="false" customHeight="true" outlineLevel="0" collapsed="false"/>
    <row r="105" customFormat="false" ht="16" hidden="false" customHeight="true" outlineLevel="0" collapsed="false"/>
    <row r="106" customFormat="false" ht="16" hidden="false" customHeight="true" outlineLevel="0" collapsed="false">
      <c r="AK106" s="3" t="str">
        <f aca="false">CHAR(24)&amp;CHAR(25)</f>
        <v>_x005F_x0018__x005F_x0019_</v>
      </c>
      <c r="AM106" s="2" t="s">
        <v>140</v>
      </c>
    </row>
    <row r="107" customFormat="false" ht="16" hidden="false" customHeight="true" outlineLevel="0" collapsed="false"/>
    <row r="108" customFormat="false" ht="16" hidden="false" customHeight="true" outlineLevel="0" collapsed="false"/>
    <row r="109" customFormat="false" ht="16" hidden="false" customHeight="true" outlineLevel="0" collapsed="false"/>
    <row r="110" customFormat="false" ht="16" hidden="false" customHeight="true" outlineLevel="0" collapsed="false"/>
    <row r="111" customFormat="false" ht="16" hidden="false" customHeight="true" outlineLevel="0" collapsed="false"/>
    <row r="112" customFormat="false" ht="16" hidden="false" customHeight="true" outlineLevel="0" collapsed="false"/>
    <row r="113" customFormat="false" ht="16" hidden="false" customHeight="true" outlineLevel="0" collapsed="false"/>
    <row r="114" customFormat="false" ht="16" hidden="false" customHeight="true" outlineLevel="0" collapsed="false"/>
    <row r="115" customFormat="false" ht="16" hidden="false" customHeight="true" outlineLevel="0" collapsed="false"/>
    <row r="116" customFormat="false" ht="16" hidden="false" customHeight="true" outlineLevel="0" collapsed="false"/>
    <row r="117" customFormat="false" ht="16" hidden="false" customHeight="true" outlineLevel="0" collapsed="false"/>
    <row r="118" customFormat="false" ht="16" hidden="false" customHeight="true" outlineLevel="0" collapsed="false"/>
    <row r="119" customFormat="false" ht="16" hidden="false" customHeight="true" outlineLevel="0" collapsed="false"/>
    <row r="120" customFormat="false" ht="16" hidden="false" customHeight="true" outlineLevel="0" collapsed="false"/>
    <row r="121" customFormat="false" ht="16" hidden="false" customHeight="true" outlineLevel="0" collapsed="false"/>
    <row r="122" customFormat="false" ht="16" hidden="false" customHeight="true" outlineLevel="0" collapsed="false"/>
    <row r="123" customFormat="false" ht="16" hidden="false" customHeight="true" outlineLevel="0" collapsed="false">
      <c r="AK123" s="3" t="str">
        <f aca="false">CHAR(24)&amp;CHAR(25)</f>
        <v>_x005F_x0018__x005F_x0019_</v>
      </c>
      <c r="AM123" s="2" t="s">
        <v>141</v>
      </c>
    </row>
    <row r="124" customFormat="false" ht="16" hidden="false" customHeight="true" outlineLevel="0" collapsed="false"/>
    <row r="125" customFormat="false" ht="16" hidden="false" customHeight="true" outlineLevel="0" collapsed="false"/>
    <row r="126" customFormat="false" ht="16" hidden="false" customHeight="true" outlineLevel="0" collapsed="false"/>
    <row r="127" customFormat="false" ht="16" hidden="false" customHeight="true" outlineLevel="0" collapsed="false"/>
    <row r="128" customFormat="false" ht="16" hidden="false" customHeight="true" outlineLevel="0" collapsed="false"/>
    <row r="129" customFormat="false" ht="16" hidden="false" customHeight="true" outlineLevel="0" collapsed="false"/>
    <row r="130" customFormat="false" ht="16" hidden="false" customHeight="true" outlineLevel="0" collapsed="false"/>
    <row r="131" customFormat="false" ht="16" hidden="false" customHeight="true" outlineLevel="0" collapsed="false"/>
    <row r="132" customFormat="false" ht="16" hidden="false" customHeight="true" outlineLevel="0" collapsed="false"/>
    <row r="133" customFormat="false" ht="16" hidden="false" customHeight="true" outlineLevel="0" collapsed="false"/>
    <row r="134" customFormat="false" ht="16" hidden="false" customHeight="true" outlineLevel="0" collapsed="false"/>
    <row r="135" customFormat="false" ht="16" hidden="false" customHeight="true" outlineLevel="0" collapsed="false"/>
    <row r="136" customFormat="false" ht="16" hidden="false" customHeight="true" outlineLevel="0" collapsed="false"/>
    <row r="137" customFormat="false" ht="16" hidden="false" customHeight="true" outlineLevel="0" collapsed="false"/>
    <row r="138" customFormat="false" ht="16" hidden="false" customHeight="true" outlineLevel="0" collapsed="false"/>
    <row r="139" customFormat="false" ht="16" hidden="false" customHeight="true" outlineLevel="0" collapsed="false"/>
    <row r="140" customFormat="false" ht="16" hidden="false" customHeight="true" outlineLevel="0" collapsed="false"/>
    <row r="141" customFormat="false" ht="16" hidden="false" customHeight="true" outlineLevel="0" collapsed="false"/>
    <row r="142" customFormat="false" ht="16" hidden="false" customHeight="true" outlineLevel="0" collapsed="false"/>
    <row r="143" customFormat="false" ht="16" hidden="false" customHeight="true" outlineLevel="0" collapsed="false"/>
    <row r="144" customFormat="false" ht="16" hidden="false" customHeight="true" outlineLevel="0" collapsed="false"/>
    <row r="145" customFormat="false" ht="16" hidden="false" customHeight="true" outlineLevel="0" collapsed="false"/>
    <row r="146" customFormat="false" ht="16" hidden="false" customHeight="true" outlineLevel="0" collapsed="false"/>
    <row r="147" customFormat="false" ht="16" hidden="false" customHeight="true" outlineLevel="0" collapsed="false"/>
    <row r="148" customFormat="false" ht="16" hidden="false" customHeight="true" outlineLevel="0" collapsed="false"/>
    <row r="149" customFormat="false" ht="16" hidden="false" customHeight="true" outlineLevel="0" collapsed="false"/>
    <row r="150" customFormat="false" ht="16" hidden="false" customHeight="true" outlineLevel="0" collapsed="false"/>
    <row r="151" customFormat="false" ht="16" hidden="false" customHeight="true" outlineLevel="0" collapsed="false"/>
    <row r="152" customFormat="false" ht="16" hidden="false" customHeight="true" outlineLevel="0" collapsed="false"/>
    <row r="153" customFormat="false" ht="16" hidden="false" customHeight="true" outlineLevel="0" collapsed="false"/>
    <row r="154" customFormat="false" ht="16" hidden="false" customHeight="true" outlineLevel="0" collapsed="false"/>
    <row r="155" customFormat="false" ht="16" hidden="false" customHeight="true" outlineLevel="0" collapsed="false"/>
    <row r="156" customFormat="false" ht="16" hidden="false" customHeight="true" outlineLevel="0" collapsed="false"/>
    <row r="157" customFormat="false" ht="16" hidden="false" customHeight="true" outlineLevel="0" collapsed="false"/>
    <row r="158" customFormat="false" ht="16" hidden="false" customHeight="true" outlineLevel="0" collapsed="false"/>
    <row r="159" customFormat="false" ht="16" hidden="false" customHeight="true" outlineLevel="0" collapsed="false"/>
    <row r="160" customFormat="false" ht="16" hidden="false" customHeight="true" outlineLevel="0" collapsed="false"/>
    <row r="161" customFormat="false" ht="16" hidden="false" customHeight="true" outlineLevel="0" collapsed="false"/>
    <row r="162" customFormat="false" ht="16" hidden="false" customHeight="true" outlineLevel="0" collapsed="false"/>
    <row r="163" customFormat="false" ht="16" hidden="false" customHeight="true" outlineLevel="0" collapsed="false"/>
    <row r="164" customFormat="false" ht="16" hidden="false" customHeight="true" outlineLevel="0" collapsed="false"/>
    <row r="165" customFormat="false" ht="16" hidden="false" customHeight="true" outlineLevel="0" collapsed="false"/>
    <row r="166" customFormat="false" ht="16" hidden="false" customHeight="true" outlineLevel="0" collapsed="false"/>
    <row r="167" customFormat="false" ht="16" hidden="false" customHeight="true" outlineLevel="0" collapsed="false"/>
    <row r="168" customFormat="false" ht="16" hidden="false" customHeight="true" outlineLevel="0" collapsed="false"/>
    <row r="169" customFormat="false" ht="16" hidden="false" customHeight="true" outlineLevel="0" collapsed="false"/>
    <row r="170" customFormat="false" ht="16" hidden="false" customHeight="true" outlineLevel="0" collapsed="false"/>
    <row r="171" customFormat="false" ht="16" hidden="false" customHeight="true" outlineLevel="0" collapsed="false"/>
    <row r="172" customFormat="false" ht="16" hidden="false" customHeight="true" outlineLevel="0" collapsed="false"/>
    <row r="173" customFormat="false" ht="16" hidden="false" customHeight="true" outlineLevel="0" collapsed="false"/>
    <row r="174" customFormat="false" ht="16" hidden="false" customHeight="true" outlineLevel="0" collapsed="false"/>
    <row r="175" customFormat="false" ht="16" hidden="false" customHeight="true" outlineLevel="0" collapsed="false"/>
    <row r="176" customFormat="false" ht="16" hidden="false" customHeight="true" outlineLevel="0" collapsed="false"/>
    <row r="177" customFormat="false" ht="16" hidden="false" customHeight="true" outlineLevel="0" collapsed="false"/>
    <row r="178" customFormat="false" ht="16" hidden="false" customHeight="true" outlineLevel="0" collapsed="false"/>
    <row r="179" customFormat="false" ht="16" hidden="false" customHeight="true" outlineLevel="0" collapsed="false"/>
    <row r="180" customFormat="false" ht="16" hidden="false" customHeight="true" outlineLevel="0" collapsed="false"/>
    <row r="181" customFormat="false" ht="16" hidden="false" customHeight="true" outlineLevel="0" collapsed="false"/>
    <row r="182" customFormat="false" ht="16" hidden="false" customHeight="true" outlineLevel="0" collapsed="false"/>
    <row r="183" customFormat="false" ht="16" hidden="false" customHeight="true" outlineLevel="0" collapsed="false"/>
    <row r="184" customFormat="false" ht="16" hidden="false" customHeight="true" outlineLevel="0" collapsed="false"/>
    <row r="185" customFormat="false" ht="16" hidden="false" customHeight="true" outlineLevel="0" collapsed="false"/>
    <row r="186" customFormat="false" ht="16" hidden="false" customHeight="true" outlineLevel="0" collapsed="false"/>
    <row r="187" customFormat="false" ht="16" hidden="false" customHeight="true" outlineLevel="0" collapsed="false"/>
    <row r="188" customFormat="false" ht="16" hidden="false" customHeight="true" outlineLevel="0" collapsed="false"/>
    <row r="189" customFormat="false" ht="16" hidden="false" customHeight="true" outlineLevel="0" collapsed="false"/>
    <row r="190" customFormat="false" ht="16" hidden="false" customHeight="true" outlineLevel="0" collapsed="false"/>
    <row r="191" customFormat="false" ht="16" hidden="false" customHeight="true" outlineLevel="0" collapsed="false"/>
    <row r="192" customFormat="false" ht="16" hidden="false" customHeight="true" outlineLevel="0" collapsed="false"/>
    <row r="193" customFormat="false" ht="16" hidden="false" customHeight="true" outlineLevel="0" collapsed="false"/>
    <row r="194" customFormat="false" ht="16" hidden="false" customHeight="true" outlineLevel="0" collapsed="false"/>
    <row r="195" customFormat="false" ht="16" hidden="false" customHeight="true" outlineLevel="0" collapsed="false"/>
    <row r="196" customFormat="false" ht="16" hidden="false" customHeight="true" outlineLevel="0" collapsed="false"/>
    <row r="197" customFormat="false" ht="16" hidden="false" customHeight="true" outlineLevel="0" collapsed="false"/>
    <row r="198" customFormat="false" ht="16" hidden="false" customHeight="true" outlineLevel="0" collapsed="false"/>
    <row r="199" customFormat="false" ht="16" hidden="false" customHeight="true" outlineLevel="0" collapsed="false"/>
    <row r="200" customFormat="false" ht="16" hidden="false" customHeight="true" outlineLevel="0" collapsed="false"/>
    <row r="201" customFormat="false" ht="16" hidden="false" customHeight="true" outlineLevel="0" collapsed="false"/>
    <row r="202" customFormat="false" ht="16" hidden="false" customHeight="true" outlineLevel="0" collapsed="false"/>
    <row r="203" customFormat="false" ht="16" hidden="false" customHeight="true" outlineLevel="0" collapsed="false"/>
    <row r="204" customFormat="false" ht="16" hidden="false" customHeight="true" outlineLevel="0" collapsed="false"/>
    <row r="205" customFormat="false" ht="16" hidden="false" customHeight="true" outlineLevel="0" collapsed="false"/>
    <row r="206" customFormat="false" ht="16" hidden="false" customHeight="true" outlineLevel="0" collapsed="false"/>
    <row r="207" customFormat="false" ht="16" hidden="false" customHeight="true" outlineLevel="0" collapsed="false"/>
    <row r="208" customFormat="false" ht="16" hidden="false" customHeight="true" outlineLevel="0" collapsed="false"/>
    <row r="209" customFormat="false" ht="16" hidden="false" customHeight="true" outlineLevel="0" collapsed="false"/>
    <row r="210" customFormat="false" ht="16" hidden="false" customHeight="true" outlineLevel="0" collapsed="false"/>
    <row r="211" customFormat="false" ht="16" hidden="false" customHeight="true" outlineLevel="0" collapsed="false"/>
    <row r="212" customFormat="false" ht="16" hidden="false" customHeight="true" outlineLevel="0" collapsed="false"/>
    <row r="213" customFormat="false" ht="16" hidden="false" customHeight="true" outlineLevel="0" collapsed="false"/>
    <row r="214" customFormat="false" ht="16" hidden="false" customHeight="true" outlineLevel="0" collapsed="false"/>
    <row r="215" customFormat="false" ht="16" hidden="false" customHeight="true" outlineLevel="0" collapsed="false"/>
    <row r="216" customFormat="false" ht="16" hidden="false" customHeight="true" outlineLevel="0" collapsed="false"/>
    <row r="217" customFormat="false" ht="16" hidden="false" customHeight="true" outlineLevel="0" collapsed="false"/>
    <row r="218" customFormat="false" ht="16" hidden="false" customHeight="true" outlineLevel="0" collapsed="false"/>
    <row r="219" customFormat="false" ht="16" hidden="false" customHeight="true" outlineLevel="0" collapsed="false"/>
    <row r="220" customFormat="false" ht="16" hidden="false" customHeight="true" outlineLevel="0" collapsed="false"/>
    <row r="221" customFormat="false" ht="16" hidden="false" customHeight="true" outlineLevel="0" collapsed="false"/>
    <row r="222" customFormat="false" ht="16" hidden="false" customHeight="true" outlineLevel="0" collapsed="false"/>
    <row r="223" customFormat="false" ht="16" hidden="false" customHeight="true" outlineLevel="0" collapsed="false"/>
    <row r="224" customFormat="false" ht="16" hidden="false" customHeight="true" outlineLevel="0" collapsed="false"/>
    <row r="225" customFormat="false" ht="16" hidden="false" customHeight="true" outlineLevel="0" collapsed="false"/>
    <row r="226" customFormat="false" ht="16" hidden="false" customHeight="true" outlineLevel="0" collapsed="false"/>
    <row r="227" customFormat="false" ht="16" hidden="false" customHeight="true" outlineLevel="0" collapsed="false"/>
    <row r="228" customFormat="false" ht="16" hidden="false" customHeight="true" outlineLevel="0" collapsed="false"/>
    <row r="229" customFormat="false" ht="16" hidden="false" customHeight="true" outlineLevel="0" collapsed="false"/>
    <row r="230" customFormat="false" ht="16" hidden="false" customHeight="true" outlineLevel="0" collapsed="false"/>
    <row r="231" customFormat="false" ht="16" hidden="false" customHeight="true" outlineLevel="0" collapsed="false"/>
    <row r="232" customFormat="false" ht="16" hidden="false" customHeight="true" outlineLevel="0" collapsed="false"/>
    <row r="233" customFormat="false" ht="16" hidden="false" customHeight="true" outlineLevel="0" collapsed="false"/>
    <row r="234" customFormat="false" ht="16" hidden="false" customHeight="true" outlineLevel="0" collapsed="false"/>
    <row r="235" customFormat="false" ht="16" hidden="false" customHeight="true" outlineLevel="0" collapsed="false"/>
    <row r="236" customFormat="false" ht="16" hidden="false" customHeight="true" outlineLevel="0" collapsed="false"/>
    <row r="237" customFormat="false" ht="16" hidden="false" customHeight="true" outlineLevel="0" collapsed="false"/>
    <row r="238" customFormat="false" ht="16" hidden="false" customHeight="true" outlineLevel="0" collapsed="false"/>
    <row r="239" customFormat="false" ht="16" hidden="false" customHeight="true" outlineLevel="0" collapsed="false"/>
    <row r="240" customFormat="false" ht="16" hidden="false" customHeight="true" outlineLevel="0" collapsed="false"/>
    <row r="241" customFormat="false" ht="16" hidden="false" customHeight="true" outlineLevel="0" collapsed="false"/>
    <row r="242" customFormat="false" ht="16" hidden="false" customHeight="true" outlineLevel="0" collapsed="false"/>
    <row r="243" customFormat="false" ht="16" hidden="false" customHeight="true" outlineLevel="0" collapsed="false"/>
    <row r="244" customFormat="false" ht="16" hidden="false" customHeight="true" outlineLevel="0" collapsed="false"/>
    <row r="245" customFormat="false" ht="16" hidden="false" customHeight="true" outlineLevel="0" collapsed="false"/>
    <row r="246" customFormat="false" ht="16" hidden="false" customHeight="true" outlineLevel="0" collapsed="false"/>
    <row r="247" customFormat="false" ht="16" hidden="false" customHeight="true" outlineLevel="0" collapsed="false"/>
    <row r="248" customFormat="false" ht="16" hidden="false" customHeight="true" outlineLevel="0" collapsed="false"/>
    <row r="249" customFormat="false" ht="16" hidden="false" customHeight="true" outlineLevel="0" collapsed="false"/>
    <row r="250" customFormat="false" ht="16" hidden="false" customHeight="true" outlineLevel="0" collapsed="false"/>
    <row r="251" customFormat="false" ht="16" hidden="false" customHeight="true" outlineLevel="0" collapsed="false"/>
    <row r="252" customFormat="false" ht="16" hidden="false" customHeight="true" outlineLevel="0" collapsed="false"/>
    <row r="253" customFormat="false" ht="16" hidden="false" customHeight="true" outlineLevel="0" collapsed="false"/>
    <row r="254" customFormat="false" ht="16" hidden="false" customHeight="true" outlineLevel="0" collapsed="false"/>
    <row r="255" customFormat="false" ht="16" hidden="false" customHeight="true" outlineLevel="0" collapsed="false"/>
    <row r="256" customFormat="false" ht="16" hidden="false" customHeight="true" outlineLevel="0" collapsed="false"/>
    <row r="257" customFormat="false" ht="16" hidden="false" customHeight="true" outlineLevel="0" collapsed="false"/>
    <row r="258" customFormat="false" ht="16" hidden="false" customHeight="true" outlineLevel="0" collapsed="false"/>
    <row r="259" customFormat="false" ht="16" hidden="false" customHeight="true" outlineLevel="0" collapsed="false"/>
    <row r="260" customFormat="false" ht="16" hidden="false" customHeight="true" outlineLevel="0" collapsed="false"/>
    <row r="261" customFormat="false" ht="16" hidden="false" customHeight="true" outlineLevel="0" collapsed="false"/>
    <row r="262" customFormat="false" ht="16" hidden="false" customHeight="true" outlineLevel="0" collapsed="false"/>
    <row r="263" customFormat="false" ht="16" hidden="false" customHeight="true" outlineLevel="0" collapsed="false"/>
    <row r="264" customFormat="false" ht="16" hidden="false" customHeight="true" outlineLevel="0" collapsed="false"/>
    <row r="265" customFormat="false" ht="16" hidden="false" customHeight="true" outlineLevel="0" collapsed="false"/>
    <row r="266" customFormat="false" ht="16" hidden="false" customHeight="true" outlineLevel="0" collapsed="false"/>
    <row r="267" customFormat="false" ht="16" hidden="false" customHeight="true" outlineLevel="0" collapsed="false"/>
    <row r="268" customFormat="false" ht="16" hidden="false" customHeight="true" outlineLevel="0" collapsed="false"/>
    <row r="269" customFormat="false" ht="16" hidden="false" customHeight="true" outlineLevel="0" collapsed="false"/>
    <row r="270" customFormat="false" ht="16" hidden="false" customHeight="true" outlineLevel="0" collapsed="false"/>
    <row r="271" customFormat="false" ht="16" hidden="false" customHeight="true" outlineLevel="0" collapsed="false"/>
    <row r="272" customFormat="false" ht="16" hidden="false" customHeight="true" outlineLevel="0" collapsed="false"/>
    <row r="273" customFormat="false" ht="16" hidden="false" customHeight="true" outlineLevel="0" collapsed="false"/>
    <row r="274" customFormat="false" ht="16" hidden="false" customHeight="true" outlineLevel="0" collapsed="false"/>
    <row r="275" customFormat="false" ht="16" hidden="false" customHeight="true" outlineLevel="0" collapsed="false"/>
    <row r="276" customFormat="false" ht="16" hidden="false" customHeight="true" outlineLevel="0" collapsed="false"/>
    <row r="277" customFormat="false" ht="16" hidden="false" customHeight="true" outlineLevel="0" collapsed="false"/>
    <row r="278" customFormat="false" ht="16" hidden="false" customHeight="true" outlineLevel="0" collapsed="false"/>
    <row r="279" customFormat="false" ht="16" hidden="false" customHeight="true" outlineLevel="0" collapsed="false"/>
    <row r="280" customFormat="false" ht="16" hidden="false" customHeight="true" outlineLevel="0" collapsed="false"/>
    <row r="281" customFormat="false" ht="16" hidden="false" customHeight="true" outlineLevel="0" collapsed="false"/>
    <row r="282" customFormat="false" ht="16" hidden="false" customHeight="true" outlineLevel="0" collapsed="false"/>
    <row r="283" customFormat="false" ht="16" hidden="false" customHeight="true" outlineLevel="0" collapsed="false"/>
    <row r="284" customFormat="false" ht="16" hidden="false" customHeight="true" outlineLevel="0" collapsed="false"/>
    <row r="285" customFormat="false" ht="16" hidden="false" customHeight="true" outlineLevel="0" collapsed="false"/>
    <row r="286" customFormat="false" ht="16" hidden="false" customHeight="true" outlineLevel="0" collapsed="false"/>
    <row r="287" customFormat="false" ht="16" hidden="false" customHeight="true" outlineLevel="0" collapsed="false"/>
    <row r="288" customFormat="false" ht="16" hidden="false" customHeight="true" outlineLevel="0" collapsed="false"/>
    <row r="289" customFormat="false" ht="16" hidden="false" customHeight="true" outlineLevel="0" collapsed="false"/>
    <row r="290" customFormat="false" ht="16" hidden="false" customHeight="true" outlineLevel="0" collapsed="false"/>
    <row r="291" customFormat="false" ht="16" hidden="false" customHeight="true" outlineLevel="0" collapsed="false"/>
    <row r="292" customFormat="false" ht="16" hidden="false" customHeight="true" outlineLevel="0" collapsed="false"/>
    <row r="293" customFormat="false" ht="16" hidden="false" customHeight="true" outlineLevel="0" collapsed="false"/>
    <row r="294" customFormat="false" ht="16" hidden="false" customHeight="true" outlineLevel="0" collapsed="false"/>
    <row r="295" customFormat="false" ht="16" hidden="false" customHeight="true" outlineLevel="0" collapsed="false"/>
    <row r="296" customFormat="false" ht="16" hidden="false" customHeight="true" outlineLevel="0" collapsed="false"/>
    <row r="297" customFormat="false" ht="16" hidden="false" customHeight="true" outlineLevel="0" collapsed="false"/>
    <row r="298" customFormat="false" ht="16" hidden="false" customHeight="true" outlineLevel="0" collapsed="false"/>
    <row r="299" customFormat="false" ht="16" hidden="false" customHeight="true" outlineLevel="0" collapsed="false"/>
    <row r="300" customFormat="false" ht="16" hidden="false" customHeight="true" outlineLevel="0" collapsed="false"/>
    <row r="301" customFormat="false" ht="16" hidden="false" customHeight="true" outlineLevel="0" collapsed="false"/>
    <row r="302" customFormat="false" ht="16" hidden="false" customHeight="true" outlineLevel="0" collapsed="false"/>
    <row r="303" customFormat="false" ht="16" hidden="false" customHeight="true" outlineLevel="0" collapsed="false"/>
    <row r="304" customFormat="false" ht="16" hidden="false" customHeight="true" outlineLevel="0" collapsed="false"/>
    <row r="305" customFormat="false" ht="16" hidden="false" customHeight="true" outlineLevel="0" collapsed="false"/>
    <row r="306" customFormat="false" ht="16" hidden="false" customHeight="true" outlineLevel="0" collapsed="false"/>
    <row r="307" customFormat="false" ht="16" hidden="false" customHeight="true" outlineLevel="0" collapsed="false"/>
    <row r="308" customFormat="false" ht="16" hidden="false" customHeight="true" outlineLevel="0" collapsed="false"/>
    <row r="309" customFormat="false" ht="16" hidden="false" customHeight="true" outlineLevel="0" collapsed="false"/>
    <row r="310" customFormat="false" ht="16" hidden="false" customHeight="true" outlineLevel="0" collapsed="false"/>
    <row r="311" customFormat="false" ht="16" hidden="false" customHeight="true" outlineLevel="0" collapsed="false"/>
    <row r="312" customFormat="false" ht="16" hidden="false" customHeight="true" outlineLevel="0" collapsed="false"/>
    <row r="313" customFormat="false" ht="16" hidden="false" customHeight="true" outlineLevel="0" collapsed="false"/>
    <row r="314" customFormat="false" ht="16" hidden="false" customHeight="true" outlineLevel="0" collapsed="false"/>
    <row r="315" customFormat="false" ht="16" hidden="false" customHeight="true" outlineLevel="0" collapsed="false"/>
    <row r="316" customFormat="false" ht="16" hidden="false" customHeight="true" outlineLevel="0" collapsed="false"/>
    <row r="317" customFormat="false" ht="16" hidden="false" customHeight="true" outlineLevel="0" collapsed="false"/>
    <row r="318" customFormat="false" ht="16" hidden="false" customHeight="true" outlineLevel="0" collapsed="false"/>
    <row r="319" customFormat="false" ht="16" hidden="false" customHeight="true" outlineLevel="0" collapsed="false"/>
    <row r="320" customFormat="false" ht="16" hidden="false" customHeight="true" outlineLevel="0" collapsed="false"/>
    <row r="321" customFormat="false" ht="16" hidden="false" customHeight="true" outlineLevel="0" collapsed="false"/>
    <row r="322" customFormat="false" ht="16" hidden="false" customHeight="true" outlineLevel="0" collapsed="false"/>
    <row r="323" customFormat="false" ht="16" hidden="false" customHeight="true" outlineLevel="0" collapsed="false"/>
    <row r="324" customFormat="false" ht="16" hidden="false" customHeight="true" outlineLevel="0" collapsed="false"/>
    <row r="325" customFormat="false" ht="16" hidden="false" customHeight="true" outlineLevel="0" collapsed="false"/>
    <row r="326" customFormat="false" ht="16" hidden="false" customHeight="true" outlineLevel="0" collapsed="false"/>
    <row r="327" customFormat="false" ht="16" hidden="false" customHeight="true" outlineLevel="0" collapsed="false"/>
    <row r="328" customFormat="false" ht="16" hidden="false" customHeight="true" outlineLevel="0" collapsed="false"/>
    <row r="329" customFormat="false" ht="16" hidden="false" customHeight="true" outlineLevel="0" collapsed="false"/>
    <row r="330" customFormat="false" ht="16" hidden="false" customHeight="true" outlineLevel="0" collapsed="false"/>
    <row r="331" customFormat="false" ht="16" hidden="false" customHeight="true" outlineLevel="0" collapsed="false"/>
    <row r="332" customFormat="false" ht="16" hidden="false" customHeight="true" outlineLevel="0" collapsed="false"/>
    <row r="333" customFormat="false" ht="16" hidden="false" customHeight="true" outlineLevel="0" collapsed="false"/>
    <row r="334" customFormat="false" ht="16" hidden="false" customHeight="true" outlineLevel="0" collapsed="false"/>
    <row r="335" customFormat="false" ht="16" hidden="false" customHeight="true" outlineLevel="0" collapsed="false"/>
    <row r="336" customFormat="false" ht="16" hidden="false" customHeight="true" outlineLevel="0" collapsed="false"/>
    <row r="337" customFormat="false" ht="16" hidden="false" customHeight="true" outlineLevel="0" collapsed="false"/>
    <row r="338" customFormat="false" ht="16" hidden="false" customHeight="true" outlineLevel="0" collapsed="false"/>
    <row r="339" customFormat="false" ht="16" hidden="false" customHeight="true" outlineLevel="0" collapsed="false"/>
    <row r="340" customFormat="false" ht="16" hidden="false" customHeight="true" outlineLevel="0" collapsed="false"/>
    <row r="341" customFormat="false" ht="16" hidden="false" customHeight="true" outlineLevel="0" collapsed="false"/>
    <row r="342" customFormat="false" ht="16" hidden="false" customHeight="true" outlineLevel="0" collapsed="false"/>
    <row r="343" customFormat="false" ht="16" hidden="false" customHeight="true" outlineLevel="0" collapsed="false"/>
    <row r="344" customFormat="false" ht="16" hidden="false" customHeight="true" outlineLevel="0" collapsed="false"/>
    <row r="345" customFormat="false" ht="16" hidden="false" customHeight="true" outlineLevel="0" collapsed="false"/>
    <row r="346" customFormat="false" ht="16" hidden="false" customHeight="true" outlineLevel="0" collapsed="false"/>
    <row r="347" customFormat="false" ht="16" hidden="false" customHeight="true" outlineLevel="0" collapsed="false"/>
    <row r="348" customFormat="false" ht="16" hidden="false" customHeight="true" outlineLevel="0" collapsed="false"/>
    <row r="349" customFormat="false" ht="16" hidden="false" customHeight="true" outlineLevel="0" collapsed="false"/>
    <row r="350" customFormat="false" ht="16" hidden="false" customHeight="true" outlineLevel="0" collapsed="false"/>
    <row r="351" customFormat="false" ht="16" hidden="false" customHeight="true" outlineLevel="0" collapsed="false"/>
    <row r="352" customFormat="false" ht="16" hidden="false" customHeight="true" outlineLevel="0" collapsed="false"/>
    <row r="353" customFormat="false" ht="16" hidden="false" customHeight="true" outlineLevel="0" collapsed="false"/>
    <row r="354" customFormat="false" ht="16" hidden="false" customHeight="true" outlineLevel="0" collapsed="false"/>
    <row r="355" customFormat="false" ht="16" hidden="false" customHeight="true" outlineLevel="0" collapsed="false"/>
    <row r="356" customFormat="false" ht="16" hidden="false" customHeight="true" outlineLevel="0" collapsed="false"/>
    <row r="357" customFormat="false" ht="16" hidden="false" customHeight="true" outlineLevel="0" collapsed="false"/>
    <row r="358" customFormat="false" ht="16" hidden="false" customHeight="true" outlineLevel="0" collapsed="false"/>
    <row r="359" customFormat="false" ht="16" hidden="false" customHeight="true" outlineLevel="0" collapsed="false"/>
    <row r="360" customFormat="false" ht="16" hidden="false" customHeight="true" outlineLevel="0" collapsed="false"/>
    <row r="361" customFormat="false" ht="16" hidden="false" customHeight="true" outlineLevel="0" collapsed="false"/>
    <row r="362" customFormat="false" ht="16" hidden="false" customHeight="true" outlineLevel="0" collapsed="false"/>
    <row r="363" customFormat="false" ht="16" hidden="false" customHeight="true" outlineLevel="0" collapsed="false"/>
    <row r="364" customFormat="false" ht="16" hidden="false" customHeight="true" outlineLevel="0" collapsed="false"/>
    <row r="365" customFormat="false" ht="16" hidden="false" customHeight="true" outlineLevel="0" collapsed="false"/>
    <row r="366" customFormat="false" ht="16" hidden="false" customHeight="true" outlineLevel="0" collapsed="false"/>
    <row r="367" customFormat="false" ht="16" hidden="false" customHeight="true" outlineLevel="0" collapsed="false"/>
    <row r="368" customFormat="false" ht="16" hidden="false" customHeight="true" outlineLevel="0" collapsed="false"/>
    <row r="369" customFormat="false" ht="16" hidden="false" customHeight="true" outlineLevel="0" collapsed="false"/>
    <row r="370" customFormat="false" ht="16" hidden="false" customHeight="true" outlineLevel="0" collapsed="false"/>
    <row r="371" customFormat="false" ht="16" hidden="false" customHeight="true" outlineLevel="0" collapsed="false"/>
    <row r="372" customFormat="false" ht="16" hidden="false" customHeight="true" outlineLevel="0" collapsed="false"/>
    <row r="373" customFormat="false" ht="16" hidden="false" customHeight="true" outlineLevel="0" collapsed="false"/>
    <row r="374" customFormat="false" ht="16" hidden="false" customHeight="true" outlineLevel="0" collapsed="false"/>
    <row r="375" customFormat="false" ht="16" hidden="false" customHeight="true" outlineLevel="0" collapsed="false"/>
    <row r="376" customFormat="false" ht="16" hidden="false" customHeight="true" outlineLevel="0" collapsed="false"/>
    <row r="377" customFormat="false" ht="16" hidden="false" customHeight="true" outlineLevel="0" collapsed="false"/>
    <row r="378" customFormat="false" ht="16" hidden="false" customHeight="true" outlineLevel="0" collapsed="false"/>
    <row r="379" customFormat="false" ht="16" hidden="false" customHeight="true" outlineLevel="0" collapsed="false"/>
    <row r="380" customFormat="false" ht="16" hidden="false" customHeight="true" outlineLevel="0" collapsed="false"/>
    <row r="381" customFormat="false" ht="16" hidden="false" customHeight="true" outlineLevel="0" collapsed="false"/>
    <row r="382" customFormat="false" ht="16" hidden="false" customHeight="true" outlineLevel="0" collapsed="false"/>
    <row r="383" customFormat="false" ht="16" hidden="false" customHeight="true" outlineLevel="0" collapsed="false"/>
    <row r="384" customFormat="false" ht="16" hidden="false" customHeight="true" outlineLevel="0" collapsed="false"/>
    <row r="385" customFormat="false" ht="16" hidden="false" customHeight="true" outlineLevel="0" collapsed="false"/>
    <row r="386" customFormat="false" ht="16" hidden="false" customHeight="true" outlineLevel="0" collapsed="false"/>
    <row r="387" customFormat="false" ht="16" hidden="false" customHeight="true" outlineLevel="0" collapsed="false"/>
    <row r="388" customFormat="false" ht="16" hidden="false" customHeight="true" outlineLevel="0" collapsed="false"/>
    <row r="389" customFormat="false" ht="16" hidden="false" customHeight="true" outlineLevel="0" collapsed="false"/>
    <row r="390" customFormat="false" ht="16" hidden="false" customHeight="true" outlineLevel="0" collapsed="false"/>
    <row r="391" customFormat="false" ht="16" hidden="false" customHeight="true" outlineLevel="0" collapsed="false"/>
    <row r="392" customFormat="false" ht="16" hidden="false" customHeight="true" outlineLevel="0" collapsed="false"/>
    <row r="393" customFormat="false" ht="16" hidden="false" customHeight="true" outlineLevel="0" collapsed="false"/>
    <row r="394" customFormat="false" ht="16" hidden="false" customHeight="true" outlineLevel="0" collapsed="false"/>
    <row r="395" customFormat="false" ht="16" hidden="false" customHeight="true" outlineLevel="0" collapsed="false"/>
    <row r="396" customFormat="false" ht="16" hidden="false" customHeight="true" outlineLevel="0" collapsed="false"/>
    <row r="397" customFormat="false" ht="16" hidden="false" customHeight="true" outlineLevel="0" collapsed="false"/>
    <row r="398" customFormat="false" ht="16" hidden="false" customHeight="true" outlineLevel="0" collapsed="false"/>
    <row r="399" customFormat="false" ht="16" hidden="false" customHeight="true" outlineLevel="0" collapsed="false"/>
    <row r="400" customFormat="false" ht="16" hidden="false" customHeight="true" outlineLevel="0" collapsed="false"/>
    <row r="401" customFormat="false" ht="16" hidden="false" customHeight="true" outlineLevel="0" collapsed="false"/>
    <row r="402" customFormat="false" ht="16" hidden="false" customHeight="true" outlineLevel="0" collapsed="false"/>
    <row r="403" customFormat="false" ht="16" hidden="false" customHeight="true" outlineLevel="0" collapsed="false"/>
    <row r="404" customFormat="false" ht="16" hidden="false" customHeight="true" outlineLevel="0" collapsed="false"/>
    <row r="405" customFormat="false" ht="16" hidden="false" customHeight="true" outlineLevel="0" collapsed="false"/>
    <row r="406" customFormat="false" ht="16" hidden="false" customHeight="true" outlineLevel="0" collapsed="false"/>
    <row r="407" customFormat="false" ht="16" hidden="false" customHeight="true" outlineLevel="0" collapsed="false"/>
    <row r="408" customFormat="false" ht="16" hidden="false" customHeight="true" outlineLevel="0" collapsed="false"/>
    <row r="409" customFormat="false" ht="16" hidden="false" customHeight="true" outlineLevel="0" collapsed="false"/>
    <row r="410" customFormat="false" ht="16" hidden="false" customHeight="true" outlineLevel="0" collapsed="false"/>
    <row r="411" customFormat="false" ht="16" hidden="false" customHeight="true" outlineLevel="0" collapsed="false"/>
    <row r="412" customFormat="false" ht="16" hidden="false" customHeight="true" outlineLevel="0" collapsed="false"/>
    <row r="413" customFormat="false" ht="16" hidden="false" customHeight="true" outlineLevel="0" collapsed="false"/>
    <row r="414" customFormat="false" ht="16" hidden="false" customHeight="true" outlineLevel="0" collapsed="false"/>
    <row r="415" customFormat="false" ht="16" hidden="false" customHeight="true" outlineLevel="0" collapsed="false"/>
    <row r="416" customFormat="false" ht="16" hidden="false" customHeight="true" outlineLevel="0" collapsed="false"/>
    <row r="417" customFormat="false" ht="16" hidden="false" customHeight="true" outlineLevel="0" collapsed="false"/>
    <row r="418" customFormat="false" ht="16" hidden="false" customHeight="true" outlineLevel="0" collapsed="false"/>
    <row r="419" customFormat="false" ht="16" hidden="false" customHeight="true" outlineLevel="0" collapsed="false"/>
    <row r="420" customFormat="false" ht="16" hidden="false" customHeight="true" outlineLevel="0" collapsed="false"/>
    <row r="421" customFormat="false" ht="16" hidden="false" customHeight="true" outlineLevel="0" collapsed="false"/>
    <row r="422" customFormat="false" ht="16" hidden="false" customHeight="true" outlineLevel="0" collapsed="false"/>
    <row r="423" customFormat="false" ht="16" hidden="false" customHeight="true" outlineLevel="0" collapsed="false"/>
    <row r="424" customFormat="false" ht="16" hidden="false" customHeight="true" outlineLevel="0" collapsed="false"/>
    <row r="425" customFormat="false" ht="16" hidden="false" customHeight="true" outlineLevel="0" collapsed="false"/>
    <row r="426" customFormat="false" ht="16" hidden="false" customHeight="true" outlineLevel="0" collapsed="false"/>
    <row r="427" customFormat="false" ht="16" hidden="false" customHeight="true" outlineLevel="0" collapsed="false"/>
    <row r="428" customFormat="false" ht="16" hidden="false" customHeight="true" outlineLevel="0" collapsed="false"/>
    <row r="429" customFormat="false" ht="16" hidden="false" customHeight="true" outlineLevel="0" collapsed="false"/>
    <row r="430" customFormat="false" ht="16" hidden="false" customHeight="true" outlineLevel="0" collapsed="false"/>
    <row r="431" customFormat="false" ht="16" hidden="false" customHeight="true" outlineLevel="0" collapsed="false"/>
    <row r="432" customFormat="false" ht="16" hidden="false" customHeight="true" outlineLevel="0" collapsed="false"/>
    <row r="433" customFormat="false" ht="16" hidden="false" customHeight="true" outlineLevel="0" collapsed="false"/>
    <row r="434" customFormat="false" ht="16" hidden="false" customHeight="true" outlineLevel="0" collapsed="false"/>
    <row r="435" customFormat="false" ht="16" hidden="false" customHeight="true" outlineLevel="0" collapsed="false"/>
    <row r="436" customFormat="false" ht="16" hidden="false" customHeight="true" outlineLevel="0" collapsed="false"/>
    <row r="437" customFormat="false" ht="16" hidden="false" customHeight="true" outlineLevel="0" collapsed="false"/>
    <row r="438" customFormat="false" ht="16" hidden="false" customHeight="true" outlineLevel="0" collapsed="false"/>
    <row r="439" customFormat="false" ht="16" hidden="false" customHeight="true" outlineLevel="0" collapsed="false"/>
    <row r="440" customFormat="false" ht="16" hidden="false" customHeight="true" outlineLevel="0" collapsed="false"/>
    <row r="441" customFormat="false" ht="16" hidden="false" customHeight="true" outlineLevel="0" collapsed="false"/>
    <row r="442" customFormat="false" ht="16" hidden="false" customHeight="true" outlineLevel="0" collapsed="false"/>
    <row r="443" customFormat="false" ht="16" hidden="false" customHeight="true" outlineLevel="0" collapsed="false"/>
    <row r="444" customFormat="false" ht="16" hidden="false" customHeight="true" outlineLevel="0" collapsed="false"/>
    <row r="445" customFormat="false" ht="16" hidden="false" customHeight="true" outlineLevel="0" collapsed="false"/>
    <row r="446" customFormat="false" ht="16" hidden="false" customHeight="true" outlineLevel="0" collapsed="false"/>
    <row r="447" customFormat="false" ht="16" hidden="false" customHeight="true" outlineLevel="0" collapsed="false"/>
    <row r="448" customFormat="false" ht="16" hidden="false" customHeight="true" outlineLevel="0" collapsed="false"/>
    <row r="449" customFormat="false" ht="16" hidden="false" customHeight="true" outlineLevel="0" collapsed="false"/>
    <row r="450" customFormat="false" ht="16" hidden="false" customHeight="true" outlineLevel="0" collapsed="false"/>
    <row r="451" customFormat="false" ht="16" hidden="false" customHeight="true" outlineLevel="0" collapsed="false"/>
    <row r="452" customFormat="false" ht="16" hidden="false" customHeight="true" outlineLevel="0" collapsed="false"/>
    <row r="453" customFormat="false" ht="16" hidden="false" customHeight="true" outlineLevel="0" collapsed="false"/>
    <row r="454" customFormat="false" ht="16" hidden="false" customHeight="true" outlineLevel="0" collapsed="false"/>
    <row r="455" customFormat="false" ht="16" hidden="false" customHeight="true" outlineLevel="0" collapsed="false"/>
    <row r="456" customFormat="false" ht="16" hidden="false" customHeight="true" outlineLevel="0" collapsed="false"/>
    <row r="457" customFormat="false" ht="16" hidden="false" customHeight="true" outlineLevel="0" collapsed="false"/>
    <row r="458" customFormat="false" ht="16" hidden="false" customHeight="true" outlineLevel="0" collapsed="false"/>
    <row r="459" customFormat="false" ht="16" hidden="false" customHeight="true" outlineLevel="0" collapsed="false"/>
    <row r="460" customFormat="false" ht="16" hidden="false" customHeight="true" outlineLevel="0" collapsed="false"/>
    <row r="461" customFormat="false" ht="16" hidden="false" customHeight="true" outlineLevel="0" collapsed="false"/>
    <row r="462" customFormat="false" ht="16" hidden="false" customHeight="true" outlineLevel="0" collapsed="false"/>
    <row r="463" customFormat="false" ht="16" hidden="false" customHeight="true" outlineLevel="0" collapsed="false"/>
    <row r="464" customFormat="false" ht="16" hidden="false" customHeight="true" outlineLevel="0" collapsed="false"/>
    <row r="465" customFormat="false" ht="16" hidden="false" customHeight="true" outlineLevel="0" collapsed="false"/>
    <row r="466" customFormat="false" ht="16" hidden="false" customHeight="true" outlineLevel="0" collapsed="false"/>
    <row r="467" customFormat="false" ht="16" hidden="false" customHeight="true" outlineLevel="0" collapsed="false"/>
    <row r="468" customFormat="false" ht="16" hidden="false" customHeight="true" outlineLevel="0" collapsed="false"/>
    <row r="469" customFormat="false" ht="16" hidden="false" customHeight="true" outlineLevel="0" collapsed="false"/>
    <row r="470" customFormat="false" ht="16" hidden="false" customHeight="true" outlineLevel="0" collapsed="false"/>
    <row r="471" customFormat="false" ht="16" hidden="false" customHeight="true" outlineLevel="0" collapsed="false"/>
    <row r="472" customFormat="false" ht="16" hidden="false" customHeight="true" outlineLevel="0" collapsed="false"/>
    <row r="473" customFormat="false" ht="16" hidden="false" customHeight="true" outlineLevel="0" collapsed="false"/>
    <row r="474" customFormat="false" ht="16" hidden="false" customHeight="true" outlineLevel="0" collapsed="false"/>
    <row r="475" customFormat="false" ht="16" hidden="false" customHeight="true" outlineLevel="0" collapsed="false"/>
    <row r="476" customFormat="false" ht="16" hidden="false" customHeight="true" outlineLevel="0" collapsed="false"/>
    <row r="477" customFormat="false" ht="16" hidden="false" customHeight="true" outlineLevel="0" collapsed="false"/>
    <row r="478" customFormat="false" ht="16" hidden="false" customHeight="true" outlineLevel="0" collapsed="false"/>
    <row r="479" customFormat="false" ht="16" hidden="false" customHeight="true" outlineLevel="0" collapsed="false"/>
    <row r="480" customFormat="false" ht="16" hidden="false" customHeight="true" outlineLevel="0" collapsed="false"/>
    <row r="481" customFormat="false" ht="16" hidden="false" customHeight="true" outlineLevel="0" collapsed="false"/>
    <row r="482" customFormat="false" ht="16" hidden="false" customHeight="true" outlineLevel="0" collapsed="false"/>
    <row r="483" customFormat="false" ht="16" hidden="false" customHeight="true" outlineLevel="0" collapsed="false"/>
    <row r="484" customFormat="false" ht="16" hidden="false" customHeight="true" outlineLevel="0" collapsed="false"/>
    <row r="485" customFormat="false" ht="16" hidden="false" customHeight="true" outlineLevel="0" collapsed="false"/>
    <row r="486" customFormat="false" ht="16" hidden="false" customHeight="true" outlineLevel="0" collapsed="false"/>
    <row r="487" customFormat="false" ht="16" hidden="false" customHeight="true" outlineLevel="0" collapsed="false"/>
    <row r="488" customFormat="false" ht="16" hidden="false" customHeight="true" outlineLevel="0" collapsed="false"/>
    <row r="489" customFormat="false" ht="16" hidden="false" customHeight="true" outlineLevel="0" collapsed="false"/>
    <row r="490" customFormat="false" ht="16" hidden="false" customHeight="true" outlineLevel="0" collapsed="false"/>
    <row r="491" customFormat="false" ht="16" hidden="false" customHeight="true" outlineLevel="0" collapsed="false"/>
    <row r="492" customFormat="false" ht="16" hidden="false" customHeight="true" outlineLevel="0" collapsed="false"/>
    <row r="493" customFormat="false" ht="16" hidden="false" customHeight="true" outlineLevel="0" collapsed="false"/>
    <row r="494" customFormat="false" ht="16" hidden="false" customHeight="true" outlineLevel="0" collapsed="false"/>
    <row r="495" customFormat="false" ht="16" hidden="false" customHeight="true" outlineLevel="0" collapsed="false"/>
    <row r="496" customFormat="false" ht="16" hidden="false" customHeight="true" outlineLevel="0" collapsed="false"/>
    <row r="497" customFormat="false" ht="16" hidden="false" customHeight="true" outlineLevel="0" collapsed="false"/>
    <row r="498" customFormat="false" ht="16" hidden="false" customHeight="true" outlineLevel="0" collapsed="false"/>
    <row r="499" customFormat="false" ht="16" hidden="false" customHeight="true" outlineLevel="0" collapsed="false"/>
    <row r="500" customFormat="false" ht="16" hidden="false" customHeight="true" outlineLevel="0" collapsed="false"/>
    <row r="501" customFormat="false" ht="16" hidden="false" customHeight="true" outlineLevel="0" collapsed="false"/>
    <row r="502" customFormat="false" ht="16" hidden="false" customHeight="true" outlineLevel="0" collapsed="false"/>
    <row r="503" customFormat="false" ht="16" hidden="false" customHeight="true" outlineLevel="0" collapsed="false"/>
    <row r="504" customFormat="false" ht="16" hidden="false" customHeight="true" outlineLevel="0" collapsed="false"/>
    <row r="505" customFormat="false" ht="16" hidden="false" customHeight="true" outlineLevel="0" collapsed="false"/>
    <row r="506" customFormat="false" ht="16" hidden="false" customHeight="true" outlineLevel="0" collapsed="false"/>
    <row r="507" customFormat="false" ht="16" hidden="false" customHeight="true" outlineLevel="0" collapsed="false"/>
    <row r="508" customFormat="false" ht="16" hidden="false" customHeight="true" outlineLevel="0" collapsed="false"/>
    <row r="509" customFormat="false" ht="16" hidden="false" customHeight="true" outlineLevel="0" collapsed="false"/>
    <row r="510" customFormat="false" ht="16" hidden="false" customHeight="true" outlineLevel="0" collapsed="false"/>
    <row r="511" customFormat="false" ht="16" hidden="false" customHeight="true" outlineLevel="0" collapsed="false"/>
    <row r="512" customFormat="false" ht="16" hidden="false" customHeight="true" outlineLevel="0" collapsed="false"/>
    <row r="513" customFormat="false" ht="16" hidden="false" customHeight="true" outlineLevel="0" collapsed="false"/>
    <row r="514" customFormat="false" ht="16" hidden="false" customHeight="true" outlineLevel="0" collapsed="false"/>
    <row r="515" customFormat="false" ht="16" hidden="false" customHeight="true" outlineLevel="0" collapsed="false"/>
    <row r="516" customFormat="false" ht="16" hidden="false" customHeight="true" outlineLevel="0" collapsed="false"/>
    <row r="517" customFormat="false" ht="16" hidden="false" customHeight="true" outlineLevel="0" collapsed="false"/>
    <row r="518" customFormat="false" ht="16" hidden="false" customHeight="true" outlineLevel="0" collapsed="false"/>
    <row r="519" customFormat="false" ht="16" hidden="false" customHeight="true" outlineLevel="0" collapsed="false"/>
    <row r="520" customFormat="false" ht="16" hidden="false" customHeight="true" outlineLevel="0" collapsed="false"/>
    <row r="521" customFormat="false" ht="16" hidden="false" customHeight="true" outlineLevel="0" collapsed="false"/>
    <row r="522" customFormat="false" ht="16" hidden="false" customHeight="true" outlineLevel="0" collapsed="false"/>
    <row r="523" customFormat="false" ht="16" hidden="false" customHeight="true" outlineLevel="0" collapsed="false"/>
    <row r="524" customFormat="false" ht="16" hidden="false" customHeight="true" outlineLevel="0" collapsed="false"/>
    <row r="525" customFormat="false" ht="16" hidden="false" customHeight="true" outlineLevel="0" collapsed="false"/>
    <row r="526" customFormat="false" ht="16" hidden="false" customHeight="true" outlineLevel="0" collapsed="false"/>
    <row r="527" customFormat="false" ht="16" hidden="false" customHeight="true" outlineLevel="0" collapsed="false"/>
    <row r="528" customFormat="false" ht="16" hidden="false" customHeight="true" outlineLevel="0" collapsed="false"/>
    <row r="529" customFormat="false" ht="16" hidden="false" customHeight="true" outlineLevel="0" collapsed="false"/>
    <row r="530" customFormat="false" ht="16" hidden="false" customHeight="true" outlineLevel="0" collapsed="false"/>
    <row r="531" customFormat="false" ht="16" hidden="false" customHeight="true" outlineLevel="0" collapsed="false"/>
    <row r="532" customFormat="false" ht="16" hidden="false" customHeight="true" outlineLevel="0" collapsed="false"/>
    <row r="533" customFormat="false" ht="16" hidden="false" customHeight="true" outlineLevel="0" collapsed="false"/>
    <row r="534" customFormat="false" ht="16" hidden="false" customHeight="true" outlineLevel="0" collapsed="false"/>
    <row r="535" customFormat="false" ht="16" hidden="false" customHeight="true" outlineLevel="0" collapsed="false"/>
    <row r="536" customFormat="false" ht="16" hidden="false" customHeight="true" outlineLevel="0" collapsed="false"/>
    <row r="537" customFormat="false" ht="16" hidden="false" customHeight="true" outlineLevel="0" collapsed="false"/>
    <row r="538" customFormat="false" ht="16" hidden="false" customHeight="true" outlineLevel="0" collapsed="false"/>
    <row r="539" customFormat="false" ht="16" hidden="false" customHeight="true" outlineLevel="0" collapsed="false"/>
    <row r="540" customFormat="false" ht="16" hidden="false" customHeight="true" outlineLevel="0" collapsed="false"/>
    <row r="541" customFormat="false" ht="16" hidden="false" customHeight="true" outlineLevel="0" collapsed="false"/>
    <row r="542" customFormat="false" ht="16" hidden="false" customHeight="true" outlineLevel="0" collapsed="false"/>
    <row r="543" customFormat="false" ht="16" hidden="false" customHeight="true" outlineLevel="0" collapsed="false"/>
    <row r="544" customFormat="false" ht="16" hidden="false" customHeight="true" outlineLevel="0" collapsed="false"/>
    <row r="545" customFormat="false" ht="16" hidden="false" customHeight="true" outlineLevel="0" collapsed="false"/>
    <row r="546" customFormat="false" ht="16" hidden="false" customHeight="true" outlineLevel="0" collapsed="false"/>
    <row r="547" customFormat="false" ht="16" hidden="false" customHeight="true" outlineLevel="0" collapsed="false"/>
    <row r="548" customFormat="false" ht="16" hidden="false" customHeight="true" outlineLevel="0" collapsed="false"/>
    <row r="549" customFormat="false" ht="16" hidden="false" customHeight="true" outlineLevel="0" collapsed="false"/>
    <row r="550" customFormat="false" ht="16" hidden="false" customHeight="true" outlineLevel="0" collapsed="false"/>
    <row r="551" customFormat="false" ht="16" hidden="false" customHeight="true" outlineLevel="0" collapsed="false"/>
    <row r="552" customFormat="false" ht="16" hidden="false" customHeight="true" outlineLevel="0" collapsed="false"/>
    <row r="553" customFormat="false" ht="16" hidden="false" customHeight="true" outlineLevel="0" collapsed="false"/>
    <row r="554" customFormat="false" ht="16" hidden="false" customHeight="true" outlineLevel="0" collapsed="false"/>
    <row r="555" customFormat="false" ht="16" hidden="false" customHeight="true" outlineLevel="0" collapsed="false"/>
    <row r="556" customFormat="false" ht="16" hidden="false" customHeight="true" outlineLevel="0" collapsed="false"/>
    <row r="557" customFormat="false" ht="16" hidden="false" customHeight="true" outlineLevel="0" collapsed="false"/>
    <row r="558" customFormat="false" ht="16" hidden="false" customHeight="true" outlineLevel="0" collapsed="false"/>
    <row r="559" customFormat="false" ht="16" hidden="false" customHeight="true" outlineLevel="0" collapsed="false"/>
    <row r="560" customFormat="false" ht="16" hidden="false" customHeight="true" outlineLevel="0" collapsed="false"/>
    <row r="561" customFormat="false" ht="16" hidden="false" customHeight="true" outlineLevel="0" collapsed="false"/>
    <row r="562" customFormat="false" ht="16" hidden="false" customHeight="true" outlineLevel="0" collapsed="false"/>
    <row r="563" customFormat="false" ht="16" hidden="false" customHeight="true" outlineLevel="0" collapsed="false"/>
    <row r="564" customFormat="false" ht="16" hidden="false" customHeight="true" outlineLevel="0" collapsed="false"/>
    <row r="565" customFormat="false" ht="16" hidden="false" customHeight="true" outlineLevel="0" collapsed="false"/>
    <row r="566" customFormat="false" ht="16" hidden="false" customHeight="true" outlineLevel="0" collapsed="false"/>
    <row r="567" customFormat="false" ht="16" hidden="false" customHeight="true" outlineLevel="0" collapsed="false"/>
    <row r="568" customFormat="false" ht="16" hidden="false" customHeight="true" outlineLevel="0" collapsed="false"/>
    <row r="569" customFormat="false" ht="16" hidden="false" customHeight="true" outlineLevel="0" collapsed="false"/>
    <row r="570" customFormat="false" ht="16" hidden="false" customHeight="true" outlineLevel="0" collapsed="false"/>
    <row r="571" customFormat="false" ht="16" hidden="false" customHeight="true" outlineLevel="0" collapsed="false"/>
    <row r="572" customFormat="false" ht="16" hidden="false" customHeight="true" outlineLevel="0" collapsed="false"/>
    <row r="573" customFormat="false" ht="16" hidden="false" customHeight="true" outlineLevel="0" collapsed="false"/>
    <row r="574" customFormat="false" ht="16" hidden="false" customHeight="true" outlineLevel="0" collapsed="false"/>
    <row r="575" customFormat="false" ht="16" hidden="false" customHeight="true" outlineLevel="0" collapsed="false"/>
    <row r="576" customFormat="false" ht="16" hidden="false" customHeight="true" outlineLevel="0" collapsed="false"/>
    <row r="577" customFormat="false" ht="16" hidden="false" customHeight="true" outlineLevel="0" collapsed="false"/>
    <row r="578" customFormat="false" ht="16" hidden="false" customHeight="true" outlineLevel="0" collapsed="false"/>
    <row r="579" customFormat="false" ht="16" hidden="false" customHeight="true" outlineLevel="0" collapsed="false"/>
    <row r="580" customFormat="false" ht="16" hidden="false" customHeight="true" outlineLevel="0" collapsed="false"/>
    <row r="581" customFormat="false" ht="16" hidden="false" customHeight="true" outlineLevel="0" collapsed="false"/>
    <row r="582" customFormat="false" ht="16" hidden="false" customHeight="true" outlineLevel="0" collapsed="false"/>
    <row r="583" customFormat="false" ht="16" hidden="false" customHeight="true" outlineLevel="0" collapsed="false"/>
    <row r="584" customFormat="false" ht="16" hidden="false" customHeight="true" outlineLevel="0" collapsed="false"/>
    <row r="585" customFormat="false" ht="16" hidden="false" customHeight="true" outlineLevel="0" collapsed="false"/>
    <row r="586" customFormat="false" ht="16" hidden="false" customHeight="true" outlineLevel="0" collapsed="false"/>
    <row r="587" customFormat="false" ht="16" hidden="false" customHeight="true" outlineLevel="0" collapsed="false"/>
    <row r="588" customFormat="false" ht="16" hidden="false" customHeight="true" outlineLevel="0" collapsed="false"/>
    <row r="589" customFormat="false" ht="16" hidden="false" customHeight="true" outlineLevel="0" collapsed="false"/>
    <row r="590" customFormat="false" ht="16" hidden="false" customHeight="true" outlineLevel="0" collapsed="false"/>
    <row r="591" customFormat="false" ht="16" hidden="false" customHeight="true" outlineLevel="0" collapsed="false"/>
    <row r="592" customFormat="false" ht="16" hidden="false" customHeight="true" outlineLevel="0" collapsed="false"/>
    <row r="593" customFormat="false" ht="16" hidden="false" customHeight="true" outlineLevel="0" collapsed="false"/>
    <row r="594" customFormat="false" ht="16" hidden="false" customHeight="true" outlineLevel="0" collapsed="false"/>
    <row r="595" customFormat="false" ht="16" hidden="false" customHeight="true" outlineLevel="0" collapsed="false"/>
    <row r="596" customFormat="false" ht="16" hidden="false" customHeight="true" outlineLevel="0" collapsed="false"/>
    <row r="597" customFormat="false" ht="16" hidden="false" customHeight="true" outlineLevel="0" collapsed="false"/>
    <row r="598" customFormat="false" ht="16" hidden="false" customHeight="true" outlineLevel="0" collapsed="false"/>
    <row r="599" customFormat="false" ht="16" hidden="false" customHeight="true" outlineLevel="0" collapsed="false"/>
    <row r="600" customFormat="false" ht="16" hidden="false" customHeight="true" outlineLevel="0" collapsed="false"/>
    <row r="601" customFormat="false" ht="16" hidden="false" customHeight="true" outlineLevel="0" collapsed="false"/>
    <row r="602" customFormat="false" ht="16" hidden="false" customHeight="true" outlineLevel="0" collapsed="false"/>
    <row r="603" customFormat="false" ht="16" hidden="false" customHeight="true" outlineLevel="0" collapsed="false"/>
    <row r="604" customFormat="false" ht="16" hidden="false" customHeight="true" outlineLevel="0" collapsed="false"/>
    <row r="605" customFormat="false" ht="16" hidden="false" customHeight="true" outlineLevel="0" collapsed="false"/>
    <row r="606" customFormat="false" ht="16" hidden="false" customHeight="true" outlineLevel="0" collapsed="false"/>
    <row r="607" customFormat="false" ht="16" hidden="false" customHeight="true" outlineLevel="0" collapsed="false"/>
    <row r="608" customFormat="false" ht="16" hidden="false" customHeight="true" outlineLevel="0" collapsed="false"/>
    <row r="609" customFormat="false" ht="16" hidden="false" customHeight="true" outlineLevel="0" collapsed="false"/>
    <row r="610" customFormat="false" ht="16" hidden="false" customHeight="true" outlineLevel="0" collapsed="false"/>
    <row r="611" customFormat="false" ht="16" hidden="false" customHeight="true" outlineLevel="0" collapsed="false"/>
    <row r="612" customFormat="false" ht="16" hidden="false" customHeight="true" outlineLevel="0" collapsed="false"/>
    <row r="613" customFormat="false" ht="16" hidden="false" customHeight="true" outlineLevel="0" collapsed="false"/>
    <row r="614" customFormat="false" ht="16" hidden="false" customHeight="true" outlineLevel="0" collapsed="false"/>
    <row r="615" customFormat="false" ht="16" hidden="false" customHeight="true" outlineLevel="0" collapsed="false"/>
    <row r="616" customFormat="false" ht="16" hidden="false" customHeight="true" outlineLevel="0" collapsed="false"/>
    <row r="617" customFormat="false" ht="16" hidden="false" customHeight="true" outlineLevel="0" collapsed="false"/>
    <row r="618" customFormat="false" ht="16" hidden="false" customHeight="true" outlineLevel="0" collapsed="false"/>
    <row r="619" customFormat="false" ht="16" hidden="false" customHeight="true" outlineLevel="0" collapsed="false"/>
    <row r="620" customFormat="false" ht="16" hidden="false" customHeight="true" outlineLevel="0" collapsed="false"/>
    <row r="621" customFormat="false" ht="16" hidden="false" customHeight="true" outlineLevel="0" collapsed="false"/>
    <row r="622" customFormat="false" ht="16" hidden="false" customHeight="true" outlineLevel="0" collapsed="false"/>
    <row r="623" customFormat="false" ht="16" hidden="false" customHeight="true" outlineLevel="0" collapsed="false"/>
    <row r="624" customFormat="false" ht="16" hidden="false" customHeight="true" outlineLevel="0" collapsed="false"/>
    <row r="625" customFormat="false" ht="16" hidden="false" customHeight="true" outlineLevel="0" collapsed="false"/>
    <row r="626" customFormat="false" ht="16" hidden="false" customHeight="true" outlineLevel="0" collapsed="false"/>
    <row r="627" customFormat="false" ht="16" hidden="false" customHeight="true" outlineLevel="0" collapsed="false"/>
    <row r="628" customFormat="false" ht="16" hidden="false" customHeight="true" outlineLevel="0" collapsed="false"/>
    <row r="629" customFormat="false" ht="16" hidden="false" customHeight="true" outlineLevel="0" collapsed="false"/>
    <row r="630" customFormat="false" ht="16" hidden="false" customHeight="true" outlineLevel="0" collapsed="false"/>
    <row r="631" customFormat="false" ht="16" hidden="false" customHeight="true" outlineLevel="0" collapsed="false"/>
    <row r="632" customFormat="false" ht="16" hidden="false" customHeight="true" outlineLevel="0" collapsed="false"/>
    <row r="633" customFormat="false" ht="16" hidden="false" customHeight="true" outlineLevel="0" collapsed="false"/>
    <row r="634" customFormat="false" ht="16" hidden="false" customHeight="true" outlineLevel="0" collapsed="false"/>
    <row r="635" customFormat="false" ht="16" hidden="false" customHeight="true" outlineLevel="0" collapsed="false"/>
    <row r="636" customFormat="false" ht="16" hidden="false" customHeight="true" outlineLevel="0" collapsed="false"/>
    <row r="637" customFormat="false" ht="16" hidden="false" customHeight="true" outlineLevel="0" collapsed="false"/>
    <row r="638" customFormat="false" ht="16" hidden="false" customHeight="true" outlineLevel="0" collapsed="false"/>
    <row r="639" customFormat="false" ht="16" hidden="false" customHeight="true" outlineLevel="0" collapsed="false"/>
    <row r="640" customFormat="false" ht="16" hidden="false" customHeight="true" outlineLevel="0" collapsed="false"/>
    <row r="641" customFormat="false" ht="16" hidden="false" customHeight="true" outlineLevel="0" collapsed="false"/>
    <row r="642" customFormat="false" ht="16" hidden="false" customHeight="true" outlineLevel="0" collapsed="false"/>
    <row r="643" customFormat="false" ht="16" hidden="false" customHeight="true" outlineLevel="0" collapsed="false"/>
    <row r="644" customFormat="false" ht="16" hidden="false" customHeight="true" outlineLevel="0" collapsed="false"/>
    <row r="645" customFormat="false" ht="16" hidden="false" customHeight="true" outlineLevel="0" collapsed="false"/>
    <row r="646" customFormat="false" ht="16" hidden="false" customHeight="true" outlineLevel="0" collapsed="false"/>
    <row r="647" customFormat="false" ht="16" hidden="false" customHeight="true" outlineLevel="0" collapsed="false"/>
    <row r="648" customFormat="false" ht="16" hidden="false" customHeight="true" outlineLevel="0" collapsed="false"/>
    <row r="649" customFormat="false" ht="16" hidden="false" customHeight="true" outlineLevel="0" collapsed="false"/>
    <row r="650" customFormat="false" ht="16" hidden="false" customHeight="true" outlineLevel="0" collapsed="false"/>
    <row r="651" customFormat="false" ht="16" hidden="false" customHeight="true" outlineLevel="0" collapsed="false"/>
    <row r="652" customFormat="false" ht="16" hidden="false" customHeight="true" outlineLevel="0" collapsed="false"/>
    <row r="653" customFormat="false" ht="16" hidden="false" customHeight="true" outlineLevel="0" collapsed="false"/>
    <row r="654" customFormat="false" ht="16" hidden="false" customHeight="true" outlineLevel="0" collapsed="false"/>
    <row r="655" customFormat="false" ht="16" hidden="false" customHeight="true" outlineLevel="0" collapsed="false"/>
    <row r="656" customFormat="false" ht="16" hidden="false" customHeight="true" outlineLevel="0" collapsed="false"/>
    <row r="657" customFormat="false" ht="16" hidden="false" customHeight="true" outlineLevel="0" collapsed="false"/>
    <row r="658" customFormat="false" ht="16" hidden="false" customHeight="true" outlineLevel="0" collapsed="false"/>
    <row r="659" customFormat="false" ht="16" hidden="false" customHeight="true" outlineLevel="0" collapsed="false"/>
    <row r="660" customFormat="false" ht="16" hidden="false" customHeight="true" outlineLevel="0" collapsed="false"/>
    <row r="661" customFormat="false" ht="16" hidden="false" customHeight="true" outlineLevel="0" collapsed="false"/>
    <row r="662" customFormat="false" ht="16" hidden="false" customHeight="true" outlineLevel="0" collapsed="false"/>
    <row r="663" customFormat="false" ht="16" hidden="false" customHeight="true" outlineLevel="0" collapsed="false"/>
    <row r="664" customFormat="false" ht="16" hidden="false" customHeight="true" outlineLevel="0" collapsed="false"/>
    <row r="665" customFormat="false" ht="16" hidden="false" customHeight="true" outlineLevel="0" collapsed="false"/>
    <row r="666" customFormat="false" ht="16" hidden="false" customHeight="true" outlineLevel="0" collapsed="false"/>
    <row r="667" customFormat="false" ht="16" hidden="false" customHeight="true" outlineLevel="0" collapsed="false"/>
    <row r="668" customFormat="false" ht="16" hidden="false" customHeight="true" outlineLevel="0" collapsed="false"/>
    <row r="669" customFormat="false" ht="16" hidden="false" customHeight="true" outlineLevel="0" collapsed="false"/>
    <row r="670" customFormat="false" ht="16" hidden="false" customHeight="true" outlineLevel="0" collapsed="false"/>
    <row r="671" customFormat="false" ht="16" hidden="false" customHeight="true" outlineLevel="0" collapsed="false"/>
    <row r="672" customFormat="false" ht="16" hidden="false" customHeight="true" outlineLevel="0" collapsed="false"/>
    <row r="673" customFormat="false" ht="16" hidden="false" customHeight="true" outlineLevel="0" collapsed="false"/>
    <row r="674" customFormat="false" ht="16" hidden="false" customHeight="true" outlineLevel="0" collapsed="false"/>
    <row r="675" customFormat="false" ht="16" hidden="false" customHeight="true" outlineLevel="0" collapsed="false"/>
    <row r="676" customFormat="false" ht="16" hidden="false" customHeight="true" outlineLevel="0" collapsed="false"/>
    <row r="677" customFormat="false" ht="16" hidden="false" customHeight="true" outlineLevel="0" collapsed="false"/>
    <row r="678" customFormat="false" ht="16" hidden="false" customHeight="true" outlineLevel="0" collapsed="false"/>
    <row r="679" customFormat="false" ht="16" hidden="false" customHeight="true" outlineLevel="0" collapsed="false"/>
    <row r="680" customFormat="false" ht="16" hidden="false" customHeight="true" outlineLevel="0" collapsed="false"/>
    <row r="681" customFormat="false" ht="16" hidden="false" customHeight="true" outlineLevel="0" collapsed="false"/>
    <row r="682" customFormat="false" ht="16" hidden="false" customHeight="true" outlineLevel="0" collapsed="false"/>
    <row r="683" customFormat="false" ht="16" hidden="false" customHeight="true" outlineLevel="0" collapsed="false"/>
    <row r="684" customFormat="false" ht="16" hidden="false" customHeight="true" outlineLevel="0" collapsed="false"/>
    <row r="685" customFormat="false" ht="16" hidden="false" customHeight="true" outlineLevel="0" collapsed="false"/>
    <row r="686" customFormat="false" ht="16" hidden="false" customHeight="true" outlineLevel="0" collapsed="false"/>
    <row r="687" customFormat="false" ht="16" hidden="false" customHeight="true" outlineLevel="0" collapsed="false"/>
    <row r="688" customFormat="false" ht="16" hidden="false" customHeight="true" outlineLevel="0" collapsed="false"/>
    <row r="689" customFormat="false" ht="16" hidden="false" customHeight="true" outlineLevel="0" collapsed="false"/>
    <row r="690" customFormat="false" ht="16" hidden="false" customHeight="true" outlineLevel="0" collapsed="false"/>
    <row r="691" customFormat="false" ht="16" hidden="false" customHeight="true" outlineLevel="0" collapsed="false"/>
    <row r="692" customFormat="false" ht="16" hidden="false" customHeight="true" outlineLevel="0" collapsed="false"/>
    <row r="693" customFormat="false" ht="16" hidden="false" customHeight="true" outlineLevel="0" collapsed="false"/>
    <row r="694" customFormat="false" ht="16" hidden="false" customHeight="true" outlineLevel="0" collapsed="false"/>
    <row r="695" customFormat="false" ht="16" hidden="false" customHeight="true" outlineLevel="0" collapsed="false"/>
    <row r="696" customFormat="false" ht="16" hidden="false" customHeight="true" outlineLevel="0" collapsed="false"/>
    <row r="697" customFormat="false" ht="16" hidden="false" customHeight="true" outlineLevel="0" collapsed="false"/>
    <row r="698" customFormat="false" ht="16" hidden="false" customHeight="true" outlineLevel="0" collapsed="false"/>
    <row r="699" customFormat="false" ht="16" hidden="false" customHeight="true" outlineLevel="0" collapsed="false"/>
    <row r="700" customFormat="false" ht="16" hidden="false" customHeight="true" outlineLevel="0" collapsed="false"/>
    <row r="701" customFormat="false" ht="16" hidden="false" customHeight="true" outlineLevel="0" collapsed="false"/>
    <row r="702" customFormat="false" ht="16" hidden="false" customHeight="true" outlineLevel="0" collapsed="false"/>
    <row r="703" customFormat="false" ht="16" hidden="false" customHeight="true" outlineLevel="0" collapsed="false"/>
    <row r="704" customFormat="false" ht="16" hidden="false" customHeight="true" outlineLevel="0" collapsed="false"/>
    <row r="705" customFormat="false" ht="16" hidden="false" customHeight="true" outlineLevel="0" collapsed="false"/>
    <row r="706" customFormat="false" ht="16" hidden="false" customHeight="true" outlineLevel="0" collapsed="false"/>
    <row r="707" customFormat="false" ht="16" hidden="false" customHeight="true" outlineLevel="0" collapsed="false"/>
    <row r="708" customFormat="false" ht="16" hidden="false" customHeight="true" outlineLevel="0" collapsed="false"/>
    <row r="709" customFormat="false" ht="16" hidden="false" customHeight="true" outlineLevel="0" collapsed="false"/>
    <row r="710" customFormat="false" ht="16" hidden="false" customHeight="true" outlineLevel="0" collapsed="false"/>
    <row r="711" customFormat="false" ht="16" hidden="false" customHeight="true" outlineLevel="0" collapsed="false"/>
    <row r="712" customFormat="false" ht="16" hidden="false" customHeight="true" outlineLevel="0" collapsed="false"/>
    <row r="713" customFormat="false" ht="16" hidden="false" customHeight="true" outlineLevel="0" collapsed="false"/>
    <row r="714" customFormat="false" ht="16" hidden="false" customHeight="true" outlineLevel="0" collapsed="false"/>
    <row r="715" customFormat="false" ht="16" hidden="false" customHeight="true" outlineLevel="0" collapsed="false"/>
    <row r="716" customFormat="false" ht="16" hidden="false" customHeight="true" outlineLevel="0" collapsed="false"/>
    <row r="717" customFormat="false" ht="16" hidden="false" customHeight="true" outlineLevel="0" collapsed="false"/>
    <row r="718" customFormat="false" ht="16" hidden="false" customHeight="true" outlineLevel="0" collapsed="false"/>
    <row r="719" customFormat="false" ht="16" hidden="false" customHeight="true" outlineLevel="0" collapsed="false"/>
    <row r="720" customFormat="false" ht="16" hidden="false" customHeight="true" outlineLevel="0" collapsed="false"/>
    <row r="721" customFormat="false" ht="16" hidden="false" customHeight="true" outlineLevel="0" collapsed="false"/>
    <row r="722" customFormat="false" ht="16" hidden="false" customHeight="true" outlineLevel="0" collapsed="false"/>
    <row r="723" customFormat="false" ht="16" hidden="false" customHeight="true" outlineLevel="0" collapsed="false"/>
    <row r="724" customFormat="false" ht="16" hidden="false" customHeight="true" outlineLevel="0" collapsed="false"/>
    <row r="725" customFormat="false" ht="16" hidden="false" customHeight="true" outlineLevel="0" collapsed="false"/>
    <row r="726" customFormat="false" ht="16" hidden="false" customHeight="true" outlineLevel="0" collapsed="false"/>
    <row r="727" customFormat="false" ht="16" hidden="false" customHeight="true" outlineLevel="0" collapsed="false"/>
    <row r="728" customFormat="false" ht="16" hidden="false" customHeight="true" outlineLevel="0" collapsed="false"/>
    <row r="729" customFormat="false" ht="16" hidden="false" customHeight="true" outlineLevel="0" collapsed="false"/>
    <row r="730" customFormat="false" ht="16" hidden="false" customHeight="true" outlineLevel="0" collapsed="false"/>
    <row r="731" customFormat="false" ht="16" hidden="false" customHeight="true" outlineLevel="0" collapsed="false"/>
    <row r="732" customFormat="false" ht="16" hidden="false" customHeight="true" outlineLevel="0" collapsed="false"/>
    <row r="733" customFormat="false" ht="16" hidden="false" customHeight="true" outlineLevel="0" collapsed="false"/>
    <row r="734" customFormat="false" ht="16" hidden="false" customHeight="true" outlineLevel="0" collapsed="false"/>
    <row r="735" customFormat="false" ht="16" hidden="false" customHeight="true" outlineLevel="0" collapsed="false"/>
    <row r="736" customFormat="false" ht="16" hidden="false" customHeight="true" outlineLevel="0" collapsed="false"/>
    <row r="737" customFormat="false" ht="16" hidden="false" customHeight="true" outlineLevel="0" collapsed="false"/>
    <row r="738" customFormat="false" ht="16" hidden="false" customHeight="true" outlineLevel="0" collapsed="false"/>
    <row r="739" customFormat="false" ht="16" hidden="false" customHeight="true" outlineLevel="0" collapsed="false"/>
    <row r="740" customFormat="false" ht="16" hidden="false" customHeight="true" outlineLevel="0" collapsed="false"/>
    <row r="741" customFormat="false" ht="16" hidden="false" customHeight="true" outlineLevel="0" collapsed="false"/>
    <row r="742" customFormat="false" ht="16" hidden="false" customHeight="true" outlineLevel="0" collapsed="false"/>
    <row r="743" customFormat="false" ht="16" hidden="false" customHeight="true" outlineLevel="0" collapsed="false"/>
    <row r="744" customFormat="false" ht="16" hidden="false" customHeight="true" outlineLevel="0" collapsed="false"/>
    <row r="745" customFormat="false" ht="16" hidden="false" customHeight="true" outlineLevel="0" collapsed="false"/>
    <row r="746" customFormat="false" ht="16" hidden="false" customHeight="true" outlineLevel="0" collapsed="false"/>
    <row r="747" customFormat="false" ht="16" hidden="false" customHeight="true" outlineLevel="0" collapsed="false"/>
    <row r="748" customFormat="false" ht="16" hidden="false" customHeight="true" outlineLevel="0" collapsed="false"/>
    <row r="749" customFormat="false" ht="16" hidden="false" customHeight="true" outlineLevel="0" collapsed="false"/>
    <row r="750" customFormat="false" ht="16" hidden="false" customHeight="true" outlineLevel="0" collapsed="false"/>
    <row r="751" customFormat="false" ht="16" hidden="false" customHeight="true" outlineLevel="0" collapsed="false"/>
    <row r="752" customFormat="false" ht="16" hidden="false" customHeight="true" outlineLevel="0" collapsed="false"/>
    <row r="753" customFormat="false" ht="16" hidden="false" customHeight="true" outlineLevel="0" collapsed="false"/>
    <row r="754" customFormat="false" ht="16" hidden="false" customHeight="true" outlineLevel="0" collapsed="false"/>
    <row r="755" customFormat="false" ht="16" hidden="false" customHeight="true" outlineLevel="0" collapsed="false"/>
    <row r="756" customFormat="false" ht="16" hidden="false" customHeight="true" outlineLevel="0" collapsed="false"/>
    <row r="757" customFormat="false" ht="16" hidden="false" customHeight="true" outlineLevel="0" collapsed="false"/>
    <row r="758" customFormat="false" ht="16" hidden="false" customHeight="true" outlineLevel="0" collapsed="false"/>
    <row r="759" customFormat="false" ht="16" hidden="false" customHeight="true" outlineLevel="0" collapsed="false"/>
    <row r="760" customFormat="false" ht="16" hidden="false" customHeight="true" outlineLevel="0" collapsed="false"/>
    <row r="761" customFormat="false" ht="16" hidden="false" customHeight="true" outlineLevel="0" collapsed="false"/>
    <row r="762" customFormat="false" ht="16" hidden="false" customHeight="true" outlineLevel="0" collapsed="false"/>
    <row r="763" customFormat="false" ht="16" hidden="false" customHeight="true" outlineLevel="0" collapsed="false"/>
    <row r="764" customFormat="false" ht="16" hidden="false" customHeight="true" outlineLevel="0" collapsed="false"/>
    <row r="765" customFormat="false" ht="16" hidden="false" customHeight="true" outlineLevel="0" collapsed="false"/>
    <row r="766" customFormat="false" ht="16" hidden="false" customHeight="true" outlineLevel="0" collapsed="false"/>
    <row r="767" customFormat="false" ht="16" hidden="false" customHeight="true" outlineLevel="0" collapsed="false"/>
    <row r="768" customFormat="false" ht="16" hidden="false" customHeight="true" outlineLevel="0" collapsed="false"/>
    <row r="769" customFormat="false" ht="16" hidden="false" customHeight="true" outlineLevel="0" collapsed="false"/>
    <row r="770" customFormat="false" ht="16" hidden="false" customHeight="true" outlineLevel="0" collapsed="false"/>
    <row r="771" customFormat="false" ht="16" hidden="false" customHeight="true" outlineLevel="0" collapsed="false"/>
    <row r="772" customFormat="false" ht="16" hidden="false" customHeight="true" outlineLevel="0" collapsed="false"/>
    <row r="773" customFormat="false" ht="16" hidden="false" customHeight="true" outlineLevel="0" collapsed="false"/>
    <row r="774" customFormat="false" ht="16" hidden="false" customHeight="true" outlineLevel="0" collapsed="false"/>
    <row r="775" customFormat="false" ht="16" hidden="false" customHeight="true" outlineLevel="0" collapsed="false"/>
    <row r="776" customFormat="false" ht="16" hidden="false" customHeight="true" outlineLevel="0" collapsed="false"/>
    <row r="777" customFormat="false" ht="16" hidden="false" customHeight="true" outlineLevel="0" collapsed="false"/>
    <row r="778" customFormat="false" ht="16" hidden="false" customHeight="true" outlineLevel="0" collapsed="false"/>
    <row r="779" customFormat="false" ht="16" hidden="false" customHeight="true" outlineLevel="0" collapsed="false"/>
    <row r="780" customFormat="false" ht="16" hidden="false" customHeight="true" outlineLevel="0" collapsed="false"/>
    <row r="781" customFormat="false" ht="16" hidden="false" customHeight="true" outlineLevel="0" collapsed="false"/>
    <row r="782" customFormat="false" ht="16" hidden="false" customHeight="true" outlineLevel="0" collapsed="false"/>
    <row r="783" customFormat="false" ht="16" hidden="false" customHeight="true" outlineLevel="0" collapsed="false"/>
    <row r="784" customFormat="false" ht="16" hidden="false" customHeight="true" outlineLevel="0" collapsed="false"/>
    <row r="785" customFormat="false" ht="16" hidden="false" customHeight="true" outlineLevel="0" collapsed="false"/>
    <row r="786" customFormat="false" ht="16" hidden="false" customHeight="true" outlineLevel="0" collapsed="false"/>
    <row r="787" customFormat="false" ht="16" hidden="false" customHeight="true" outlineLevel="0" collapsed="false"/>
    <row r="788" customFormat="false" ht="16" hidden="false" customHeight="true" outlineLevel="0" collapsed="false"/>
    <row r="789" customFormat="false" ht="16" hidden="false" customHeight="true" outlineLevel="0" collapsed="false"/>
    <row r="790" customFormat="false" ht="16" hidden="false" customHeight="true" outlineLevel="0" collapsed="false"/>
    <row r="791" customFormat="false" ht="16" hidden="false" customHeight="true" outlineLevel="0" collapsed="false"/>
    <row r="792" customFormat="false" ht="16" hidden="false" customHeight="true" outlineLevel="0" collapsed="false"/>
    <row r="793" customFormat="false" ht="16" hidden="false" customHeight="true" outlineLevel="0" collapsed="false"/>
    <row r="794" customFormat="false" ht="16" hidden="false" customHeight="true" outlineLevel="0" collapsed="false"/>
    <row r="795" customFormat="false" ht="16" hidden="false" customHeight="true" outlineLevel="0" collapsed="false"/>
    <row r="796" customFormat="false" ht="16" hidden="false" customHeight="true" outlineLevel="0" collapsed="false"/>
    <row r="797" customFormat="false" ht="16" hidden="false" customHeight="true" outlineLevel="0" collapsed="false"/>
    <row r="798" customFormat="false" ht="16" hidden="false" customHeight="true" outlineLevel="0" collapsed="false"/>
    <row r="799" customFormat="false" ht="16" hidden="false" customHeight="true" outlineLevel="0" collapsed="false"/>
    <row r="800" customFormat="false" ht="16" hidden="false" customHeight="true" outlineLevel="0" collapsed="false"/>
    <row r="801" customFormat="false" ht="16" hidden="false" customHeight="true" outlineLevel="0" collapsed="false"/>
    <row r="802" customFormat="false" ht="16" hidden="false" customHeight="true" outlineLevel="0" collapsed="false"/>
    <row r="803" customFormat="false" ht="16" hidden="false" customHeight="true" outlineLevel="0" collapsed="false"/>
    <row r="804" customFormat="false" ht="16" hidden="false" customHeight="true" outlineLevel="0" collapsed="false"/>
    <row r="805" customFormat="false" ht="16" hidden="false" customHeight="true" outlineLevel="0" collapsed="false"/>
    <row r="806" customFormat="false" ht="16" hidden="false" customHeight="true" outlineLevel="0" collapsed="false"/>
    <row r="807" customFormat="false" ht="16" hidden="false" customHeight="true" outlineLevel="0" collapsed="false"/>
    <row r="808" customFormat="false" ht="16" hidden="false" customHeight="true" outlineLevel="0" collapsed="false"/>
    <row r="809" customFormat="false" ht="16" hidden="false" customHeight="true" outlineLevel="0" collapsed="false"/>
    <row r="810" customFormat="false" ht="16" hidden="false" customHeight="true" outlineLevel="0" collapsed="false"/>
    <row r="811" customFormat="false" ht="16" hidden="false" customHeight="true" outlineLevel="0" collapsed="false"/>
    <row r="812" customFormat="false" ht="16" hidden="false" customHeight="true" outlineLevel="0" collapsed="false"/>
    <row r="813" customFormat="false" ht="16" hidden="false" customHeight="true" outlineLevel="0" collapsed="false"/>
    <row r="814" customFormat="false" ht="16" hidden="false" customHeight="true" outlineLevel="0" collapsed="false"/>
    <row r="815" customFormat="false" ht="16" hidden="false" customHeight="true" outlineLevel="0" collapsed="false"/>
    <row r="816" customFormat="false" ht="16" hidden="false" customHeight="true" outlineLevel="0" collapsed="false"/>
    <row r="817" customFormat="false" ht="16" hidden="false" customHeight="true" outlineLevel="0" collapsed="false"/>
    <row r="818" customFormat="false" ht="16" hidden="false" customHeight="true" outlineLevel="0" collapsed="false"/>
    <row r="819" customFormat="false" ht="16" hidden="false" customHeight="true" outlineLevel="0" collapsed="false"/>
    <row r="820" customFormat="false" ht="16" hidden="false" customHeight="true" outlineLevel="0" collapsed="false"/>
    <row r="821" customFormat="false" ht="16" hidden="false" customHeight="true" outlineLevel="0" collapsed="false"/>
    <row r="822" customFormat="false" ht="16" hidden="false" customHeight="true" outlineLevel="0" collapsed="false"/>
    <row r="823" customFormat="false" ht="16" hidden="false" customHeight="true" outlineLevel="0" collapsed="false"/>
    <row r="824" customFormat="false" ht="16" hidden="false" customHeight="true" outlineLevel="0" collapsed="false"/>
    <row r="825" customFormat="false" ht="16" hidden="false" customHeight="true" outlineLevel="0" collapsed="false"/>
    <row r="826" customFormat="false" ht="16" hidden="false" customHeight="true" outlineLevel="0" collapsed="false"/>
    <row r="827" customFormat="false" ht="16" hidden="false" customHeight="true" outlineLevel="0" collapsed="false"/>
    <row r="828" customFormat="false" ht="16" hidden="false" customHeight="true" outlineLevel="0" collapsed="false"/>
    <row r="829" customFormat="false" ht="16" hidden="false" customHeight="true" outlineLevel="0" collapsed="false"/>
    <row r="830" customFormat="false" ht="16" hidden="false" customHeight="true" outlineLevel="0" collapsed="false"/>
    <row r="831" customFormat="false" ht="16" hidden="false" customHeight="true" outlineLevel="0" collapsed="false"/>
    <row r="832" customFormat="false" ht="16" hidden="false" customHeight="true" outlineLevel="0" collapsed="false"/>
    <row r="833" customFormat="false" ht="16" hidden="false" customHeight="true" outlineLevel="0" collapsed="false"/>
    <row r="834" customFormat="false" ht="16" hidden="false" customHeight="true" outlineLevel="0" collapsed="false"/>
    <row r="835" customFormat="false" ht="16" hidden="false" customHeight="true" outlineLevel="0" collapsed="false"/>
    <row r="836" customFormat="false" ht="16" hidden="false" customHeight="true" outlineLevel="0" collapsed="false"/>
    <row r="837" customFormat="false" ht="16" hidden="false" customHeight="true" outlineLevel="0" collapsed="false"/>
    <row r="838" customFormat="false" ht="16" hidden="false" customHeight="true" outlineLevel="0" collapsed="false"/>
    <row r="839" customFormat="false" ht="16" hidden="false" customHeight="true" outlineLevel="0" collapsed="false"/>
    <row r="840" customFormat="false" ht="16" hidden="false" customHeight="true" outlineLevel="0" collapsed="false"/>
    <row r="841" customFormat="false" ht="16" hidden="false" customHeight="true" outlineLevel="0" collapsed="false"/>
    <row r="842" customFormat="false" ht="16" hidden="false" customHeight="true" outlineLevel="0" collapsed="false"/>
    <row r="843" customFormat="false" ht="16" hidden="false" customHeight="true" outlineLevel="0" collapsed="false"/>
    <row r="844" customFormat="false" ht="16" hidden="false" customHeight="true" outlineLevel="0" collapsed="false"/>
    <row r="845" customFormat="false" ht="16" hidden="false" customHeight="true" outlineLevel="0" collapsed="false"/>
    <row r="846" customFormat="false" ht="16" hidden="false" customHeight="true" outlineLevel="0" collapsed="false"/>
    <row r="847" customFormat="false" ht="16" hidden="false" customHeight="true" outlineLevel="0" collapsed="false"/>
    <row r="848" customFormat="false" ht="16" hidden="false" customHeight="true" outlineLevel="0" collapsed="false"/>
    <row r="849" customFormat="false" ht="16" hidden="false" customHeight="true" outlineLevel="0" collapsed="false"/>
    <row r="850" customFormat="false" ht="16" hidden="false" customHeight="true" outlineLevel="0" collapsed="false"/>
    <row r="851" customFormat="false" ht="16" hidden="false" customHeight="true" outlineLevel="0" collapsed="false"/>
    <row r="852" customFormat="false" ht="16" hidden="false" customHeight="true" outlineLevel="0" collapsed="false"/>
    <row r="853" customFormat="false" ht="16" hidden="false" customHeight="true" outlineLevel="0" collapsed="false"/>
    <row r="854" customFormat="false" ht="16" hidden="false" customHeight="true" outlineLevel="0" collapsed="false"/>
    <row r="855" customFormat="false" ht="16" hidden="false" customHeight="true" outlineLevel="0" collapsed="false"/>
    <row r="856" customFormat="false" ht="16" hidden="false" customHeight="true" outlineLevel="0" collapsed="false"/>
    <row r="857" customFormat="false" ht="16" hidden="false" customHeight="true" outlineLevel="0" collapsed="false"/>
    <row r="858" customFormat="false" ht="16" hidden="false" customHeight="true" outlineLevel="0" collapsed="false"/>
    <row r="859" customFormat="false" ht="16" hidden="false" customHeight="true" outlineLevel="0" collapsed="false"/>
    <row r="860" customFormat="false" ht="16" hidden="false" customHeight="true" outlineLevel="0" collapsed="false"/>
    <row r="861" customFormat="false" ht="16" hidden="false" customHeight="true" outlineLevel="0" collapsed="false"/>
    <row r="862" customFormat="false" ht="16" hidden="false" customHeight="true" outlineLevel="0" collapsed="false"/>
    <row r="863" customFormat="false" ht="16" hidden="false" customHeight="true" outlineLevel="0" collapsed="false"/>
    <row r="864" customFormat="false" ht="16" hidden="false" customHeight="true" outlineLevel="0" collapsed="false"/>
    <row r="865" customFormat="false" ht="16" hidden="false" customHeight="true" outlineLevel="0" collapsed="false"/>
    <row r="866" customFormat="false" ht="16" hidden="false" customHeight="true" outlineLevel="0" collapsed="false"/>
    <row r="867" customFormat="false" ht="16" hidden="false" customHeight="true" outlineLevel="0" collapsed="false"/>
    <row r="868" customFormat="false" ht="16" hidden="false" customHeight="true" outlineLevel="0" collapsed="false"/>
    <row r="869" customFormat="false" ht="16" hidden="false" customHeight="true" outlineLevel="0" collapsed="false"/>
    <row r="870" customFormat="false" ht="16" hidden="false" customHeight="true" outlineLevel="0" collapsed="false"/>
    <row r="871" customFormat="false" ht="16" hidden="false" customHeight="true" outlineLevel="0" collapsed="false"/>
    <row r="872" customFormat="false" ht="16" hidden="false" customHeight="true" outlineLevel="0" collapsed="false"/>
    <row r="873" customFormat="false" ht="16" hidden="false" customHeight="true" outlineLevel="0" collapsed="false"/>
    <row r="874" customFormat="false" ht="16" hidden="false" customHeight="true" outlineLevel="0" collapsed="false"/>
    <row r="875" customFormat="false" ht="16" hidden="false" customHeight="true" outlineLevel="0" collapsed="false"/>
    <row r="876" customFormat="false" ht="16" hidden="false" customHeight="true" outlineLevel="0" collapsed="false"/>
    <row r="877" customFormat="false" ht="16" hidden="false" customHeight="true" outlineLevel="0" collapsed="false"/>
    <row r="878" customFormat="false" ht="16" hidden="false" customHeight="true" outlineLevel="0" collapsed="false"/>
    <row r="879" customFormat="false" ht="16" hidden="false" customHeight="true" outlineLevel="0" collapsed="false"/>
    <row r="880" customFormat="false" ht="16" hidden="false" customHeight="true" outlineLevel="0" collapsed="false"/>
    <row r="881" customFormat="false" ht="16" hidden="false" customHeight="true" outlineLevel="0" collapsed="false"/>
    <row r="882" customFormat="false" ht="16" hidden="false" customHeight="true" outlineLevel="0" collapsed="false"/>
    <row r="883" customFormat="false" ht="16" hidden="false" customHeight="true" outlineLevel="0" collapsed="false"/>
    <row r="884" customFormat="false" ht="16" hidden="false" customHeight="true" outlineLevel="0" collapsed="false"/>
    <row r="885" customFormat="false" ht="16" hidden="false" customHeight="true" outlineLevel="0" collapsed="false"/>
    <row r="886" customFormat="false" ht="16" hidden="false" customHeight="true" outlineLevel="0" collapsed="false"/>
    <row r="887" customFormat="false" ht="16" hidden="false" customHeight="true" outlineLevel="0" collapsed="false"/>
    <row r="888" customFormat="false" ht="16" hidden="false" customHeight="true" outlineLevel="0" collapsed="false"/>
    <row r="889" customFormat="false" ht="16" hidden="false" customHeight="true" outlineLevel="0" collapsed="false"/>
    <row r="890" customFormat="false" ht="16" hidden="false" customHeight="true" outlineLevel="0" collapsed="false"/>
    <row r="891" customFormat="false" ht="16" hidden="false" customHeight="true" outlineLevel="0" collapsed="false"/>
    <row r="892" customFormat="false" ht="16" hidden="false" customHeight="true" outlineLevel="0" collapsed="false"/>
    <row r="893" customFormat="false" ht="16" hidden="false" customHeight="true" outlineLevel="0" collapsed="false"/>
    <row r="894" customFormat="false" ht="16" hidden="false" customHeight="true" outlineLevel="0" collapsed="false"/>
    <row r="895" customFormat="false" ht="16" hidden="false" customHeight="true" outlineLevel="0" collapsed="false"/>
    <row r="896" customFormat="false" ht="16" hidden="false" customHeight="true" outlineLevel="0" collapsed="false"/>
    <row r="897" customFormat="false" ht="16" hidden="false" customHeight="true" outlineLevel="0" collapsed="false"/>
    <row r="898" customFormat="false" ht="16" hidden="false" customHeight="true" outlineLevel="0" collapsed="false"/>
    <row r="899" customFormat="false" ht="16" hidden="false" customHeight="true" outlineLevel="0" collapsed="false"/>
    <row r="900" customFormat="false" ht="16" hidden="false" customHeight="true" outlineLevel="0" collapsed="false"/>
    <row r="901" customFormat="false" ht="16" hidden="false" customHeight="true" outlineLevel="0" collapsed="false"/>
    <row r="902" customFormat="false" ht="16" hidden="false" customHeight="true" outlineLevel="0" collapsed="false"/>
    <row r="903" customFormat="false" ht="16" hidden="false" customHeight="true" outlineLevel="0" collapsed="false"/>
    <row r="904" customFormat="false" ht="16" hidden="false" customHeight="true" outlineLevel="0" collapsed="false"/>
    <row r="905" customFormat="false" ht="16" hidden="false" customHeight="true" outlineLevel="0" collapsed="false"/>
    <row r="906" customFormat="false" ht="16" hidden="false" customHeight="true" outlineLevel="0" collapsed="false"/>
    <row r="907" customFormat="false" ht="16" hidden="false" customHeight="true" outlineLevel="0" collapsed="false"/>
    <row r="908" customFormat="false" ht="16" hidden="false" customHeight="true" outlineLevel="0" collapsed="false"/>
    <row r="909" customFormat="false" ht="16" hidden="false" customHeight="true" outlineLevel="0" collapsed="false"/>
    <row r="910" customFormat="false" ht="16" hidden="false" customHeight="true" outlineLevel="0" collapsed="false"/>
    <row r="911" customFormat="false" ht="16" hidden="false" customHeight="true" outlineLevel="0" collapsed="false"/>
    <row r="912" customFormat="false" ht="16" hidden="false" customHeight="true" outlineLevel="0" collapsed="false"/>
    <row r="913" customFormat="false" ht="16" hidden="false" customHeight="true" outlineLevel="0" collapsed="false"/>
    <row r="914" customFormat="false" ht="16" hidden="false" customHeight="true" outlineLevel="0" collapsed="false"/>
    <row r="915" customFormat="false" ht="16" hidden="false" customHeight="true" outlineLevel="0" collapsed="false"/>
    <row r="916" customFormat="false" ht="16" hidden="false" customHeight="true" outlineLevel="0" collapsed="false"/>
    <row r="917" customFormat="false" ht="16" hidden="false" customHeight="true" outlineLevel="0" collapsed="false"/>
    <row r="918" customFormat="false" ht="16" hidden="false" customHeight="true" outlineLevel="0" collapsed="false"/>
    <row r="919" customFormat="false" ht="16" hidden="false" customHeight="true" outlineLevel="0" collapsed="false"/>
    <row r="920" customFormat="false" ht="16" hidden="false" customHeight="true" outlineLevel="0" collapsed="false"/>
    <row r="921" customFormat="false" ht="16" hidden="false" customHeight="true" outlineLevel="0" collapsed="false"/>
    <row r="922" customFormat="false" ht="16" hidden="false" customHeight="true" outlineLevel="0" collapsed="false"/>
    <row r="923" customFormat="false" ht="16" hidden="false" customHeight="true" outlineLevel="0" collapsed="false"/>
    <row r="924" customFormat="false" ht="16" hidden="false" customHeight="true" outlineLevel="0" collapsed="false"/>
    <row r="925" customFormat="false" ht="16" hidden="false" customHeight="true" outlineLevel="0" collapsed="false"/>
    <row r="926" customFormat="false" ht="16" hidden="false" customHeight="true" outlineLevel="0" collapsed="false"/>
    <row r="927" customFormat="false" ht="16" hidden="false" customHeight="true" outlineLevel="0" collapsed="false"/>
    <row r="928" customFormat="false" ht="16" hidden="false" customHeight="true" outlineLevel="0" collapsed="false"/>
    <row r="929" customFormat="false" ht="16" hidden="false" customHeight="true" outlineLevel="0" collapsed="false"/>
    <row r="930" customFormat="false" ht="16" hidden="false" customHeight="true" outlineLevel="0" collapsed="false"/>
    <row r="931" customFormat="false" ht="16" hidden="false" customHeight="true" outlineLevel="0" collapsed="false"/>
    <row r="932" customFormat="false" ht="16" hidden="false" customHeight="true" outlineLevel="0" collapsed="false"/>
    <row r="933" customFormat="false" ht="16" hidden="false" customHeight="true" outlineLevel="0" collapsed="false"/>
    <row r="934" customFormat="false" ht="16" hidden="false" customHeight="true" outlineLevel="0" collapsed="false"/>
    <row r="935" customFormat="false" ht="16" hidden="false" customHeight="true" outlineLevel="0" collapsed="false"/>
    <row r="936" customFormat="false" ht="16" hidden="false" customHeight="true" outlineLevel="0" collapsed="false"/>
    <row r="937" customFormat="false" ht="16" hidden="false" customHeight="true" outlineLevel="0" collapsed="false"/>
    <row r="938" customFormat="false" ht="16" hidden="false" customHeight="true" outlineLevel="0" collapsed="false"/>
    <row r="939" customFormat="false" ht="16" hidden="false" customHeight="true" outlineLevel="0" collapsed="false"/>
    <row r="940" customFormat="false" ht="16" hidden="false" customHeight="true" outlineLevel="0" collapsed="false"/>
    <row r="941" customFormat="false" ht="16" hidden="false" customHeight="true" outlineLevel="0" collapsed="false"/>
    <row r="942" customFormat="false" ht="16" hidden="false" customHeight="true" outlineLevel="0" collapsed="false"/>
    <row r="943" customFormat="false" ht="16" hidden="false" customHeight="true" outlineLevel="0" collapsed="false"/>
    <row r="944" customFormat="false" ht="16" hidden="false" customHeight="true" outlineLevel="0" collapsed="false"/>
    <row r="945" customFormat="false" ht="16" hidden="false" customHeight="true" outlineLevel="0" collapsed="false"/>
    <row r="946" customFormat="false" ht="16" hidden="false" customHeight="true" outlineLevel="0" collapsed="false"/>
    <row r="947" customFormat="false" ht="16" hidden="false" customHeight="true" outlineLevel="0" collapsed="false"/>
    <row r="948" customFormat="false" ht="16" hidden="false" customHeight="true" outlineLevel="0" collapsed="false"/>
    <row r="949" customFormat="false" ht="16" hidden="false" customHeight="true" outlineLevel="0" collapsed="false"/>
    <row r="950" customFormat="false" ht="16" hidden="false" customHeight="true" outlineLevel="0" collapsed="false"/>
    <row r="951" customFormat="false" ht="16" hidden="false" customHeight="true" outlineLevel="0" collapsed="false"/>
    <row r="952" customFormat="false" ht="16" hidden="false" customHeight="true" outlineLevel="0" collapsed="false"/>
    <row r="953" customFormat="false" ht="16" hidden="false" customHeight="true" outlineLevel="0" collapsed="false"/>
    <row r="954" customFormat="false" ht="16" hidden="false" customHeight="true" outlineLevel="0" collapsed="false"/>
    <row r="955" customFormat="false" ht="16" hidden="false" customHeight="true" outlineLevel="0" collapsed="false"/>
    <row r="956" customFormat="false" ht="16" hidden="false" customHeight="true" outlineLevel="0" collapsed="false"/>
    <row r="957" customFormat="false" ht="16" hidden="false" customHeight="true" outlineLevel="0" collapsed="false"/>
    <row r="958" customFormat="false" ht="16" hidden="false" customHeight="true" outlineLevel="0" collapsed="false"/>
    <row r="959" customFormat="false" ht="16" hidden="false" customHeight="true" outlineLevel="0" collapsed="false"/>
    <row r="960" customFormat="false" ht="16" hidden="false" customHeight="true" outlineLevel="0" collapsed="false"/>
    <row r="961" customFormat="false" ht="16" hidden="false" customHeight="true" outlineLevel="0" collapsed="false"/>
    <row r="962" customFormat="false" ht="16" hidden="false" customHeight="true" outlineLevel="0" collapsed="false"/>
    <row r="963" customFormat="false" ht="16" hidden="false" customHeight="true" outlineLevel="0" collapsed="false"/>
    <row r="964" customFormat="false" ht="16" hidden="false" customHeight="true" outlineLevel="0" collapsed="false"/>
    <row r="965" customFormat="false" ht="16" hidden="false" customHeight="true" outlineLevel="0" collapsed="false"/>
    <row r="966" customFormat="false" ht="16" hidden="false" customHeight="true" outlineLevel="0" collapsed="false"/>
    <row r="967" customFormat="false" ht="16" hidden="false" customHeight="true" outlineLevel="0" collapsed="false"/>
    <row r="968" customFormat="false" ht="16" hidden="false" customHeight="true" outlineLevel="0" collapsed="false"/>
    <row r="969" customFormat="false" ht="16" hidden="false" customHeight="true" outlineLevel="0" collapsed="false"/>
    <row r="970" customFormat="false" ht="16" hidden="false" customHeight="true" outlineLevel="0" collapsed="false"/>
    <row r="971" customFormat="false" ht="16" hidden="false" customHeight="true" outlineLevel="0" collapsed="false"/>
    <row r="972" customFormat="false" ht="16" hidden="false" customHeight="true" outlineLevel="0" collapsed="false"/>
    <row r="973" customFormat="false" ht="16" hidden="false" customHeight="true" outlineLevel="0" collapsed="false"/>
    <row r="974" customFormat="false" ht="16" hidden="false" customHeight="true" outlineLevel="0" collapsed="false"/>
    <row r="975" customFormat="false" ht="16" hidden="false" customHeight="true" outlineLevel="0" collapsed="false"/>
    <row r="976" customFormat="false" ht="16" hidden="false" customHeight="true" outlineLevel="0" collapsed="false"/>
    <row r="977" customFormat="false" ht="16" hidden="false" customHeight="true" outlineLevel="0" collapsed="false"/>
    <row r="978" customFormat="false" ht="16" hidden="false" customHeight="true" outlineLevel="0" collapsed="false"/>
    <row r="979" customFormat="false" ht="16" hidden="false" customHeight="true" outlineLevel="0" collapsed="false"/>
    <row r="980" customFormat="false" ht="16" hidden="false" customHeight="true" outlineLevel="0" collapsed="false"/>
    <row r="981" customFormat="false" ht="16" hidden="false" customHeight="true" outlineLevel="0" collapsed="false"/>
    <row r="982" customFormat="false" ht="16" hidden="false" customHeight="true" outlineLevel="0" collapsed="false"/>
    <row r="983" customFormat="false" ht="16" hidden="false" customHeight="true" outlineLevel="0" collapsed="false"/>
    <row r="984" customFormat="false" ht="16" hidden="false" customHeight="true" outlineLevel="0" collapsed="false"/>
    <row r="985" customFormat="false" ht="16" hidden="false" customHeight="true" outlineLevel="0" collapsed="false"/>
    <row r="986" customFormat="false" ht="16" hidden="false" customHeight="true" outlineLevel="0" collapsed="false"/>
    <row r="987" customFormat="false" ht="16" hidden="false" customHeight="true" outlineLevel="0" collapsed="false"/>
    <row r="988" customFormat="false" ht="16" hidden="false" customHeight="true" outlineLevel="0" collapsed="false"/>
    <row r="989" customFormat="false" ht="16" hidden="false" customHeight="true" outlineLevel="0" collapsed="false"/>
    <row r="990" customFormat="false" ht="16" hidden="false" customHeight="true" outlineLevel="0" collapsed="false"/>
    <row r="991" customFormat="false" ht="16" hidden="false" customHeight="true" outlineLevel="0" collapsed="false"/>
    <row r="992" customFormat="false" ht="16" hidden="false" customHeight="true" outlineLevel="0" collapsed="false"/>
    <row r="993" customFormat="false" ht="16" hidden="false" customHeight="true" outlineLevel="0" collapsed="false"/>
    <row r="994" customFormat="false" ht="16" hidden="false" customHeight="true" outlineLevel="0" collapsed="false"/>
    <row r="995" customFormat="false" ht="16" hidden="false" customHeight="true" outlineLevel="0" collapsed="false"/>
    <row r="996" customFormat="false" ht="16" hidden="false" customHeight="true" outlineLevel="0" collapsed="false"/>
    <row r="997" customFormat="false" ht="16" hidden="false" customHeight="true" outlineLevel="0" collapsed="false"/>
    <row r="998" customFormat="false" ht="16" hidden="false" customHeight="true" outlineLevel="0" collapsed="false"/>
    <row r="999" customFormat="false" ht="16" hidden="false" customHeight="true" outlineLevel="0" collapsed="false"/>
    <row r="1000" customFormat="false" ht="16" hidden="false" customHeight="true" outlineLevel="0" collapsed="false"/>
    <row r="1001" customFormat="false" ht="16" hidden="false" customHeight="true" outlineLevel="0" collapsed="false"/>
    <row r="1002" customFormat="false" ht="16" hidden="false" customHeight="true" outlineLevel="0" collapsed="false"/>
    <row r="1003" customFormat="false" ht="16" hidden="false" customHeight="true" outlineLevel="0" collapsed="false"/>
    <row r="1004" customFormat="false" ht="16" hidden="false" customHeight="true" outlineLevel="0" collapsed="false"/>
    <row r="1005" customFormat="false" ht="16" hidden="false" customHeight="true" outlineLevel="0" collapsed="false"/>
    <row r="1006" customFormat="false" ht="16" hidden="false" customHeight="true" outlineLevel="0" collapsed="false"/>
    <row r="1007" customFormat="false" ht="16" hidden="false" customHeight="true" outlineLevel="0" collapsed="false"/>
    <row r="1008" customFormat="false" ht="16" hidden="false" customHeight="true" outlineLevel="0" collapsed="false"/>
    <row r="1009" customFormat="false" ht="16" hidden="false" customHeight="true" outlineLevel="0" collapsed="false"/>
    <row r="1010" customFormat="false" ht="16" hidden="false" customHeight="true" outlineLevel="0" collapsed="false"/>
    <row r="1011" customFormat="false" ht="16" hidden="false" customHeight="true" outlineLevel="0" collapsed="false"/>
    <row r="1012" customFormat="false" ht="16" hidden="false" customHeight="true" outlineLevel="0" collapsed="false"/>
    <row r="1013" customFormat="false" ht="16" hidden="false" customHeight="true" outlineLevel="0" collapsed="false"/>
    <row r="1014" customFormat="false" ht="16" hidden="false" customHeight="true" outlineLevel="0" collapsed="false"/>
    <row r="1015" customFormat="false" ht="16" hidden="false" customHeight="true" outlineLevel="0" collapsed="false"/>
    <row r="1016" customFormat="false" ht="16" hidden="false" customHeight="true" outlineLevel="0" collapsed="false"/>
    <row r="1017" customFormat="false" ht="16" hidden="false" customHeight="true" outlineLevel="0" collapsed="false"/>
    <row r="1018" customFormat="false" ht="16" hidden="false" customHeight="true" outlineLevel="0" collapsed="false"/>
    <row r="1019" customFormat="false" ht="16" hidden="false" customHeight="true" outlineLevel="0" collapsed="false"/>
    <row r="1020" customFormat="false" ht="16" hidden="false" customHeight="true" outlineLevel="0" collapsed="false"/>
    <row r="1021" customFormat="false" ht="16" hidden="false" customHeight="true" outlineLevel="0" collapsed="false"/>
    <row r="1022" customFormat="false" ht="16" hidden="false" customHeight="true" outlineLevel="0" collapsed="false"/>
    <row r="1023" customFormat="false" ht="16" hidden="false" customHeight="true" outlineLevel="0" collapsed="false"/>
    <row r="1024" customFormat="false" ht="16" hidden="false" customHeight="true" outlineLevel="0" collapsed="false"/>
    <row r="1025" customFormat="false" ht="16" hidden="false" customHeight="true" outlineLevel="0" collapsed="false"/>
    <row r="1026" customFormat="false" ht="16" hidden="false" customHeight="true" outlineLevel="0" collapsed="false"/>
    <row r="1027" customFormat="false" ht="16" hidden="false" customHeight="true" outlineLevel="0" collapsed="false"/>
    <row r="1028" customFormat="false" ht="16" hidden="false" customHeight="true" outlineLevel="0" collapsed="false"/>
    <row r="1029" customFormat="false" ht="16" hidden="false" customHeight="true" outlineLevel="0" collapsed="false"/>
    <row r="1030" customFormat="false" ht="16" hidden="false" customHeight="true" outlineLevel="0" collapsed="false"/>
    <row r="1031" customFormat="false" ht="16" hidden="false" customHeight="true" outlineLevel="0" collapsed="false"/>
    <row r="1032" customFormat="false" ht="16" hidden="false" customHeight="true" outlineLevel="0" collapsed="false"/>
    <row r="1033" customFormat="false" ht="16" hidden="false" customHeight="true" outlineLevel="0" collapsed="false"/>
    <row r="1034" customFormat="false" ht="16" hidden="false" customHeight="true" outlineLevel="0" collapsed="false"/>
    <row r="1035" customFormat="false" ht="16" hidden="false" customHeight="true" outlineLevel="0" collapsed="false"/>
    <row r="1036" customFormat="false" ht="16" hidden="false" customHeight="true" outlineLevel="0" collapsed="false"/>
    <row r="1037" customFormat="false" ht="16" hidden="false" customHeight="true" outlineLevel="0" collapsed="false"/>
    <row r="1038" customFormat="false" ht="16" hidden="false" customHeight="true" outlineLevel="0" collapsed="false"/>
    <row r="1039" customFormat="false" ht="16" hidden="false" customHeight="true" outlineLevel="0" collapsed="false"/>
    <row r="1040" customFormat="false" ht="16" hidden="false" customHeight="true" outlineLevel="0" collapsed="false"/>
    <row r="1041" customFormat="false" ht="16" hidden="false" customHeight="true" outlineLevel="0" collapsed="false"/>
    <row r="1042" customFormat="false" ht="16" hidden="false" customHeight="true" outlineLevel="0" collapsed="false"/>
    <row r="1043" customFormat="false" ht="16" hidden="false" customHeight="true" outlineLevel="0" collapsed="false"/>
    <row r="1044" customFormat="false" ht="16" hidden="false" customHeight="true" outlineLevel="0" collapsed="false"/>
    <row r="1045" customFormat="false" ht="16" hidden="false" customHeight="true" outlineLevel="0" collapsed="false"/>
    <row r="1046" customFormat="false" ht="16" hidden="false" customHeight="true" outlineLevel="0" collapsed="false"/>
    <row r="1047" customFormat="false" ht="16" hidden="false" customHeight="true" outlineLevel="0" collapsed="false"/>
    <row r="1048" customFormat="false" ht="16" hidden="false" customHeight="true" outlineLevel="0" collapsed="false"/>
    <row r="1049" customFormat="false" ht="16" hidden="false" customHeight="true" outlineLevel="0" collapsed="false"/>
    <row r="1050" customFormat="false" ht="16" hidden="false" customHeight="true" outlineLevel="0" collapsed="false"/>
    <row r="1051" customFormat="false" ht="16" hidden="false" customHeight="true" outlineLevel="0" collapsed="false"/>
    <row r="1052" customFormat="false" ht="16" hidden="false" customHeight="true" outlineLevel="0" collapsed="false"/>
    <row r="1053" customFormat="false" ht="16" hidden="false" customHeight="true" outlineLevel="0" collapsed="false"/>
    <row r="1054" customFormat="false" ht="16" hidden="false" customHeight="true" outlineLevel="0" collapsed="false"/>
    <row r="1055" customFormat="false" ht="16" hidden="false" customHeight="true" outlineLevel="0" collapsed="false"/>
    <row r="1056" customFormat="false" ht="16" hidden="false" customHeight="true" outlineLevel="0" collapsed="false"/>
    <row r="1057" customFormat="false" ht="16" hidden="false" customHeight="true" outlineLevel="0" collapsed="false"/>
    <row r="1058" customFormat="false" ht="16" hidden="false" customHeight="true" outlineLevel="0" collapsed="false"/>
    <row r="1059" customFormat="false" ht="16" hidden="false" customHeight="true" outlineLevel="0" collapsed="false"/>
    <row r="1060" customFormat="false" ht="16" hidden="false" customHeight="true" outlineLevel="0" collapsed="false"/>
    <row r="1061" customFormat="false" ht="16" hidden="false" customHeight="true" outlineLevel="0" collapsed="false"/>
    <row r="1062" customFormat="false" ht="16" hidden="false" customHeight="true" outlineLevel="0" collapsed="false"/>
    <row r="1063" customFormat="false" ht="16" hidden="false" customHeight="true" outlineLevel="0" collapsed="false"/>
    <row r="1064" customFormat="false" ht="16" hidden="false" customHeight="true" outlineLevel="0" collapsed="false"/>
    <row r="1065" customFormat="false" ht="16" hidden="false" customHeight="true" outlineLevel="0" collapsed="false"/>
    <row r="1066" customFormat="false" ht="16" hidden="false" customHeight="true" outlineLevel="0" collapsed="false"/>
    <row r="1067" customFormat="false" ht="16" hidden="false" customHeight="true" outlineLevel="0" collapsed="false"/>
    <row r="1068" customFormat="false" ht="16" hidden="false" customHeight="true" outlineLevel="0" collapsed="false"/>
    <row r="1069" customFormat="false" ht="16" hidden="false" customHeight="true" outlineLevel="0" collapsed="false"/>
    <row r="1070" customFormat="false" ht="16" hidden="false" customHeight="true" outlineLevel="0" collapsed="false"/>
    <row r="1071" customFormat="false" ht="16" hidden="false" customHeight="true" outlineLevel="0" collapsed="false"/>
    <row r="1072" customFormat="false" ht="16" hidden="false" customHeight="true" outlineLevel="0" collapsed="false"/>
    <row r="1073" customFormat="false" ht="16" hidden="false" customHeight="true" outlineLevel="0" collapsed="false"/>
    <row r="1074" customFormat="false" ht="16" hidden="false" customHeight="true" outlineLevel="0" collapsed="false"/>
    <row r="1075" customFormat="false" ht="16" hidden="false" customHeight="true" outlineLevel="0" collapsed="false"/>
    <row r="1076" customFormat="false" ht="16" hidden="false" customHeight="true" outlineLevel="0" collapsed="false"/>
    <row r="1077" customFormat="false" ht="16" hidden="false" customHeight="true" outlineLevel="0" collapsed="false"/>
    <row r="1078" customFormat="false" ht="16" hidden="false" customHeight="true" outlineLevel="0" collapsed="false"/>
    <row r="1079" customFormat="false" ht="16" hidden="false" customHeight="true" outlineLevel="0" collapsed="false"/>
    <row r="1080" customFormat="false" ht="16" hidden="false" customHeight="true" outlineLevel="0" collapsed="false"/>
    <row r="1081" customFormat="false" ht="16" hidden="false" customHeight="true" outlineLevel="0" collapsed="false"/>
    <row r="1082" customFormat="false" ht="16" hidden="false" customHeight="true" outlineLevel="0" collapsed="false"/>
    <row r="1083" customFormat="false" ht="16" hidden="false" customHeight="true" outlineLevel="0" collapsed="false"/>
    <row r="1084" customFormat="false" ht="16" hidden="false" customHeight="true" outlineLevel="0" collapsed="false"/>
    <row r="1085" customFormat="false" ht="16" hidden="false" customHeight="true" outlineLevel="0" collapsed="false"/>
    <row r="1086" customFormat="false" ht="16" hidden="false" customHeight="true" outlineLevel="0" collapsed="false"/>
    <row r="1087" customFormat="false" ht="16" hidden="false" customHeight="true" outlineLevel="0" collapsed="false"/>
    <row r="1088" customFormat="false" ht="16" hidden="false" customHeight="true" outlineLevel="0" collapsed="false"/>
    <row r="1089" customFormat="false" ht="16" hidden="false" customHeight="true" outlineLevel="0" collapsed="false"/>
    <row r="1090" customFormat="false" ht="16" hidden="false" customHeight="true" outlineLevel="0" collapsed="false"/>
    <row r="1091" customFormat="false" ht="16" hidden="false" customHeight="true" outlineLevel="0" collapsed="false"/>
    <row r="1092" customFormat="false" ht="16" hidden="false" customHeight="true" outlineLevel="0" collapsed="false"/>
    <row r="1093" customFormat="false" ht="16" hidden="false" customHeight="true" outlineLevel="0" collapsed="false"/>
    <row r="1094" customFormat="false" ht="16" hidden="false" customHeight="true" outlineLevel="0" collapsed="false"/>
    <row r="1095" customFormat="false" ht="16" hidden="false" customHeight="true" outlineLevel="0" collapsed="false"/>
    <row r="1096" customFormat="false" ht="16" hidden="false" customHeight="true" outlineLevel="0" collapsed="false"/>
    <row r="1097" customFormat="false" ht="16" hidden="false" customHeight="true" outlineLevel="0" collapsed="false"/>
    <row r="1098" customFormat="false" ht="16" hidden="false" customHeight="true" outlineLevel="0" collapsed="false"/>
    <row r="1099" customFormat="false" ht="16" hidden="false" customHeight="true" outlineLevel="0" collapsed="false"/>
    <row r="1100" customFormat="false" ht="16" hidden="false" customHeight="true" outlineLevel="0" collapsed="false"/>
    <row r="1101" customFormat="false" ht="16" hidden="false" customHeight="true" outlineLevel="0" collapsed="false"/>
    <row r="1102" customFormat="false" ht="16" hidden="false" customHeight="true" outlineLevel="0" collapsed="false"/>
    <row r="1103" customFormat="false" ht="16" hidden="false" customHeight="true" outlineLevel="0" collapsed="false"/>
    <row r="1104" customFormat="false" ht="16" hidden="false" customHeight="true" outlineLevel="0" collapsed="false"/>
    <row r="1105" customFormat="false" ht="16" hidden="false" customHeight="true" outlineLevel="0" collapsed="false"/>
    <row r="1106" customFormat="false" ht="16" hidden="false" customHeight="true" outlineLevel="0" collapsed="false"/>
    <row r="1107" customFormat="false" ht="16" hidden="false" customHeight="true" outlineLevel="0" collapsed="false"/>
    <row r="1108" customFormat="false" ht="16" hidden="false" customHeight="true" outlineLevel="0" collapsed="false"/>
    <row r="1109" customFormat="false" ht="16" hidden="false" customHeight="true" outlineLevel="0" collapsed="false"/>
    <row r="1110" customFormat="false" ht="16" hidden="false" customHeight="true" outlineLevel="0" collapsed="false"/>
    <row r="1111" customFormat="false" ht="16" hidden="false" customHeight="true" outlineLevel="0" collapsed="false"/>
    <row r="1112" customFormat="false" ht="16" hidden="false" customHeight="true" outlineLevel="0" collapsed="false"/>
    <row r="1113" customFormat="false" ht="16" hidden="false" customHeight="true" outlineLevel="0" collapsed="false"/>
    <row r="1114" customFormat="false" ht="16" hidden="false" customHeight="true" outlineLevel="0" collapsed="false"/>
    <row r="1115" customFormat="false" ht="16" hidden="false" customHeight="true" outlineLevel="0" collapsed="false"/>
    <row r="1116" customFormat="false" ht="16" hidden="false" customHeight="true" outlineLevel="0" collapsed="false"/>
    <row r="1117" customFormat="false" ht="16" hidden="false" customHeight="true" outlineLevel="0" collapsed="false"/>
    <row r="1118" customFormat="false" ht="16" hidden="false" customHeight="true" outlineLevel="0" collapsed="false"/>
    <row r="1119" customFormat="false" ht="16" hidden="false" customHeight="true" outlineLevel="0" collapsed="false"/>
    <row r="1120" customFormat="false" ht="16" hidden="false" customHeight="true" outlineLevel="0" collapsed="false"/>
    <row r="1121" customFormat="false" ht="16" hidden="false" customHeight="true" outlineLevel="0" collapsed="false"/>
    <row r="1122" customFormat="false" ht="16" hidden="false" customHeight="true" outlineLevel="0" collapsed="false"/>
    <row r="1123" customFormat="false" ht="16" hidden="false" customHeight="true" outlineLevel="0" collapsed="false"/>
    <row r="1124" customFormat="false" ht="16" hidden="false" customHeight="true" outlineLevel="0" collapsed="false"/>
    <row r="1125" customFormat="false" ht="16" hidden="false" customHeight="true" outlineLevel="0" collapsed="false"/>
    <row r="1126" customFormat="false" ht="16" hidden="false" customHeight="true" outlineLevel="0" collapsed="false"/>
    <row r="1127" customFormat="false" ht="16" hidden="false" customHeight="true" outlineLevel="0" collapsed="false"/>
    <row r="1128" customFormat="false" ht="16" hidden="false" customHeight="true" outlineLevel="0" collapsed="false"/>
    <row r="1129" customFormat="false" ht="16" hidden="false" customHeight="true" outlineLevel="0" collapsed="false"/>
    <row r="1130" customFormat="false" ht="16" hidden="false" customHeight="true" outlineLevel="0" collapsed="false"/>
    <row r="1131" customFormat="false" ht="16" hidden="false" customHeight="true" outlineLevel="0" collapsed="false"/>
    <row r="1132" customFormat="false" ht="16" hidden="false" customHeight="true" outlineLevel="0" collapsed="false"/>
    <row r="1133" customFormat="false" ht="16" hidden="false" customHeight="true" outlineLevel="0" collapsed="false"/>
    <row r="1134" customFormat="false" ht="16" hidden="false" customHeight="true" outlineLevel="0" collapsed="false"/>
    <row r="1135" customFormat="false" ht="16" hidden="false" customHeight="true" outlineLevel="0" collapsed="false"/>
    <row r="1136" customFormat="false" ht="16" hidden="false" customHeight="true" outlineLevel="0" collapsed="false"/>
    <row r="1137" customFormat="false" ht="16" hidden="false" customHeight="true" outlineLevel="0" collapsed="false"/>
    <row r="1138" customFormat="false" ht="16" hidden="false" customHeight="true" outlineLevel="0" collapsed="false"/>
    <row r="1139" customFormat="false" ht="16" hidden="false" customHeight="true" outlineLevel="0" collapsed="false"/>
    <row r="1140" customFormat="false" ht="16" hidden="false" customHeight="true" outlineLevel="0" collapsed="false"/>
    <row r="1141" customFormat="false" ht="16" hidden="false" customHeight="true" outlineLevel="0" collapsed="false"/>
    <row r="1142" customFormat="false" ht="16" hidden="false" customHeight="true" outlineLevel="0" collapsed="false"/>
    <row r="1143" customFormat="false" ht="16" hidden="false" customHeight="true" outlineLevel="0" collapsed="false"/>
    <row r="1144" customFormat="false" ht="16" hidden="false" customHeight="true" outlineLevel="0" collapsed="false"/>
    <row r="1145" customFormat="false" ht="16" hidden="false" customHeight="true" outlineLevel="0" collapsed="false"/>
    <row r="1146" customFormat="false" ht="16" hidden="false" customHeight="true" outlineLevel="0" collapsed="false"/>
    <row r="1147" customFormat="false" ht="16" hidden="false" customHeight="true" outlineLevel="0" collapsed="false"/>
    <row r="1148" customFormat="false" ht="16" hidden="false" customHeight="true" outlineLevel="0" collapsed="false"/>
    <row r="1149" customFormat="false" ht="16" hidden="false" customHeight="true" outlineLevel="0" collapsed="false"/>
    <row r="1150" customFormat="false" ht="16" hidden="false" customHeight="true" outlineLevel="0" collapsed="false"/>
    <row r="1151" customFormat="false" ht="16" hidden="false" customHeight="true" outlineLevel="0" collapsed="false"/>
    <row r="1152" customFormat="false" ht="16" hidden="false" customHeight="true" outlineLevel="0" collapsed="false"/>
    <row r="1153" customFormat="false" ht="16" hidden="false" customHeight="true" outlineLevel="0" collapsed="false"/>
    <row r="1154" customFormat="false" ht="16" hidden="false" customHeight="true" outlineLevel="0" collapsed="false"/>
    <row r="1155" customFormat="false" ht="16" hidden="false" customHeight="true" outlineLevel="0" collapsed="false"/>
    <row r="1156" customFormat="false" ht="16" hidden="false" customHeight="true" outlineLevel="0" collapsed="false"/>
    <row r="1157" customFormat="false" ht="16" hidden="false" customHeight="true" outlineLevel="0" collapsed="false"/>
    <row r="1158" customFormat="false" ht="16" hidden="false" customHeight="true" outlineLevel="0" collapsed="false"/>
    <row r="1159" customFormat="false" ht="16" hidden="false" customHeight="true" outlineLevel="0" collapsed="false"/>
    <row r="1160" customFormat="false" ht="16" hidden="false" customHeight="true" outlineLevel="0" collapsed="false"/>
    <row r="1161" customFormat="false" ht="16" hidden="false" customHeight="true" outlineLevel="0" collapsed="false"/>
    <row r="1162" customFormat="false" ht="16" hidden="false" customHeight="true" outlineLevel="0" collapsed="false"/>
    <row r="1163" customFormat="false" ht="16" hidden="false" customHeight="true" outlineLevel="0" collapsed="false"/>
    <row r="1164" customFormat="false" ht="16" hidden="false" customHeight="true" outlineLevel="0" collapsed="false"/>
    <row r="1165" customFormat="false" ht="16" hidden="false" customHeight="true" outlineLevel="0" collapsed="false"/>
    <row r="1166" customFormat="false" ht="16" hidden="false" customHeight="true" outlineLevel="0" collapsed="false"/>
    <row r="1167" customFormat="false" ht="16" hidden="false" customHeight="true" outlineLevel="0" collapsed="false"/>
    <row r="1168" customFormat="false" ht="16" hidden="false" customHeight="true" outlineLevel="0" collapsed="false"/>
    <row r="1169" customFormat="false" ht="16" hidden="false" customHeight="true" outlineLevel="0" collapsed="false"/>
    <row r="1170" customFormat="false" ht="16" hidden="false" customHeight="true" outlineLevel="0" collapsed="false"/>
    <row r="1171" customFormat="false" ht="16" hidden="false" customHeight="true" outlineLevel="0" collapsed="false"/>
    <row r="1172" customFormat="false" ht="16" hidden="false" customHeight="true" outlineLevel="0" collapsed="false"/>
    <row r="1173" customFormat="false" ht="16" hidden="false" customHeight="true" outlineLevel="0" collapsed="false"/>
    <row r="1174" customFormat="false" ht="16" hidden="false" customHeight="true" outlineLevel="0" collapsed="false"/>
    <row r="1175" customFormat="false" ht="16" hidden="false" customHeight="true" outlineLevel="0" collapsed="false"/>
    <row r="1176" customFormat="false" ht="16" hidden="false" customHeight="true" outlineLevel="0" collapsed="false"/>
    <row r="1177" customFormat="false" ht="16" hidden="false" customHeight="true" outlineLevel="0" collapsed="false"/>
    <row r="1178" customFormat="false" ht="16" hidden="false" customHeight="true" outlineLevel="0" collapsed="false"/>
    <row r="1179" customFormat="false" ht="16" hidden="false" customHeight="true" outlineLevel="0" collapsed="false"/>
    <row r="1180" customFormat="false" ht="16" hidden="false" customHeight="true" outlineLevel="0" collapsed="false"/>
    <row r="1181" customFormat="false" ht="16" hidden="false" customHeight="true" outlineLevel="0" collapsed="false"/>
    <row r="1182" customFormat="false" ht="16" hidden="false" customHeight="true" outlineLevel="0" collapsed="false"/>
    <row r="1183" customFormat="false" ht="16" hidden="false" customHeight="true" outlineLevel="0" collapsed="false"/>
    <row r="1184" customFormat="false" ht="16" hidden="false" customHeight="true" outlineLevel="0" collapsed="false"/>
    <row r="1185" customFormat="false" ht="16" hidden="false" customHeight="true" outlineLevel="0" collapsed="false"/>
    <row r="1186" customFormat="false" ht="16" hidden="false" customHeight="true" outlineLevel="0" collapsed="false"/>
    <row r="1187" customFormat="false" ht="16" hidden="false" customHeight="true" outlineLevel="0" collapsed="false"/>
    <row r="1188" customFormat="false" ht="16" hidden="false" customHeight="true" outlineLevel="0" collapsed="false"/>
    <row r="1189" customFormat="false" ht="16" hidden="false" customHeight="true" outlineLevel="0" collapsed="false"/>
    <row r="1190" customFormat="false" ht="16" hidden="false" customHeight="true" outlineLevel="0" collapsed="false"/>
    <row r="1191" customFormat="false" ht="16" hidden="false" customHeight="true" outlineLevel="0" collapsed="false"/>
    <row r="1192" customFormat="false" ht="16" hidden="false" customHeight="true" outlineLevel="0" collapsed="false"/>
    <row r="1193" customFormat="false" ht="16" hidden="false" customHeight="true" outlineLevel="0" collapsed="false"/>
    <row r="1194" customFormat="false" ht="16" hidden="false" customHeight="true" outlineLevel="0" collapsed="false"/>
    <row r="1195" customFormat="false" ht="16" hidden="false" customHeight="true" outlineLevel="0" collapsed="false"/>
    <row r="1196" customFormat="false" ht="16" hidden="false" customHeight="true" outlineLevel="0" collapsed="false"/>
    <row r="1197" customFormat="false" ht="16" hidden="false" customHeight="true" outlineLevel="0" collapsed="false"/>
    <row r="1198" customFormat="false" ht="16" hidden="false" customHeight="true" outlineLevel="0" collapsed="false"/>
    <row r="1199" customFormat="false" ht="16" hidden="false" customHeight="true" outlineLevel="0" collapsed="false"/>
    <row r="1200" customFormat="false" ht="16" hidden="false" customHeight="true" outlineLevel="0" collapsed="false"/>
    <row r="1201" customFormat="false" ht="16" hidden="false" customHeight="true" outlineLevel="0" collapsed="false"/>
    <row r="1202" customFormat="false" ht="16" hidden="false" customHeight="true" outlineLevel="0" collapsed="false"/>
    <row r="1203" customFormat="false" ht="16" hidden="false" customHeight="true" outlineLevel="0" collapsed="false"/>
    <row r="1204" customFormat="false" ht="16" hidden="false" customHeight="true" outlineLevel="0" collapsed="false"/>
    <row r="1205" customFormat="false" ht="16" hidden="false" customHeight="true" outlineLevel="0" collapsed="false"/>
    <row r="1206" customFormat="false" ht="16" hidden="false" customHeight="true" outlineLevel="0" collapsed="false"/>
    <row r="1207" customFormat="false" ht="16" hidden="false" customHeight="true" outlineLevel="0" collapsed="false"/>
    <row r="1208" customFormat="false" ht="16" hidden="false" customHeight="true" outlineLevel="0" collapsed="false"/>
    <row r="1209" customFormat="false" ht="16" hidden="false" customHeight="true" outlineLevel="0" collapsed="false"/>
    <row r="1210" customFormat="false" ht="16" hidden="false" customHeight="true" outlineLevel="0" collapsed="false"/>
    <row r="1211" customFormat="false" ht="16" hidden="false" customHeight="true" outlineLevel="0" collapsed="false"/>
    <row r="1212" customFormat="false" ht="16" hidden="false" customHeight="true" outlineLevel="0" collapsed="false"/>
    <row r="1213" customFormat="false" ht="16" hidden="false" customHeight="true" outlineLevel="0" collapsed="false"/>
    <row r="1214" customFormat="false" ht="16" hidden="false" customHeight="true" outlineLevel="0" collapsed="false"/>
    <row r="1215" customFormat="false" ht="16" hidden="false" customHeight="true" outlineLevel="0" collapsed="false"/>
    <row r="1216" customFormat="false" ht="16" hidden="false" customHeight="true" outlineLevel="0" collapsed="false"/>
    <row r="1217" customFormat="false" ht="16" hidden="false" customHeight="true" outlineLevel="0" collapsed="false"/>
    <row r="1218" customFormat="false" ht="16" hidden="false" customHeight="true" outlineLevel="0" collapsed="false"/>
    <row r="1219" customFormat="false" ht="16" hidden="false" customHeight="true" outlineLevel="0" collapsed="false"/>
    <row r="1220" customFormat="false" ht="16" hidden="false" customHeight="true" outlineLevel="0" collapsed="false"/>
    <row r="1221" customFormat="false" ht="16" hidden="false" customHeight="true" outlineLevel="0" collapsed="false"/>
    <row r="1222" customFormat="false" ht="16" hidden="false" customHeight="true" outlineLevel="0" collapsed="false"/>
    <row r="1223" customFormat="false" ht="16" hidden="false" customHeight="true" outlineLevel="0" collapsed="false"/>
    <row r="1224" customFormat="false" ht="16" hidden="false" customHeight="true" outlineLevel="0" collapsed="false"/>
    <row r="1225" customFormat="false" ht="16" hidden="false" customHeight="true" outlineLevel="0" collapsed="false"/>
    <row r="1226" customFormat="false" ht="16" hidden="false" customHeight="true" outlineLevel="0" collapsed="false"/>
    <row r="1227" customFormat="false" ht="16" hidden="false" customHeight="true" outlineLevel="0" collapsed="false"/>
    <row r="1228" customFormat="false" ht="16" hidden="false" customHeight="true" outlineLevel="0" collapsed="false"/>
    <row r="1229" customFormat="false" ht="16" hidden="false" customHeight="true" outlineLevel="0" collapsed="false"/>
    <row r="1230" customFormat="false" ht="16" hidden="false" customHeight="true" outlineLevel="0" collapsed="false"/>
    <row r="1231" customFormat="false" ht="16" hidden="false" customHeight="true" outlineLevel="0" collapsed="false"/>
    <row r="1232" customFormat="false" ht="16" hidden="false" customHeight="true" outlineLevel="0" collapsed="false"/>
    <row r="1233" customFormat="false" ht="16" hidden="false" customHeight="true" outlineLevel="0" collapsed="false"/>
    <row r="1234" customFormat="false" ht="16" hidden="false" customHeight="true" outlineLevel="0" collapsed="false"/>
    <row r="1235" customFormat="false" ht="16" hidden="false" customHeight="true" outlineLevel="0" collapsed="false"/>
    <row r="1236" customFormat="false" ht="16" hidden="false" customHeight="true" outlineLevel="0" collapsed="false"/>
    <row r="1237" customFormat="false" ht="16" hidden="false" customHeight="true" outlineLevel="0" collapsed="false"/>
    <row r="1238" customFormat="false" ht="16" hidden="false" customHeight="true" outlineLevel="0" collapsed="false"/>
    <row r="1239" customFormat="false" ht="16" hidden="false" customHeight="true" outlineLevel="0" collapsed="false"/>
    <row r="1240" customFormat="false" ht="16" hidden="false" customHeight="true" outlineLevel="0" collapsed="false"/>
    <row r="1241" customFormat="false" ht="16" hidden="false" customHeight="true" outlineLevel="0" collapsed="false"/>
    <row r="1242" customFormat="false" ht="16" hidden="false" customHeight="true" outlineLevel="0" collapsed="false"/>
    <row r="1243" customFormat="false" ht="16" hidden="false" customHeight="true" outlineLevel="0" collapsed="false"/>
    <row r="1244" customFormat="false" ht="16" hidden="false" customHeight="true" outlineLevel="0" collapsed="false"/>
    <row r="1245" customFormat="false" ht="16" hidden="false" customHeight="true" outlineLevel="0" collapsed="false"/>
    <row r="1246" customFormat="false" ht="16" hidden="false" customHeight="true" outlineLevel="0" collapsed="false"/>
    <row r="1247" customFormat="false" ht="16" hidden="false" customHeight="true" outlineLevel="0" collapsed="false"/>
    <row r="1248" customFormat="false" ht="16" hidden="false" customHeight="true" outlineLevel="0" collapsed="false"/>
    <row r="1249" customFormat="false" ht="16" hidden="false" customHeight="true" outlineLevel="0" collapsed="false"/>
    <row r="1250" customFormat="false" ht="16" hidden="false" customHeight="true" outlineLevel="0" collapsed="false"/>
    <row r="1251" customFormat="false" ht="16" hidden="false" customHeight="true" outlineLevel="0" collapsed="false"/>
    <row r="1252" customFormat="false" ht="16" hidden="false" customHeight="true" outlineLevel="0" collapsed="false"/>
    <row r="1253" customFormat="false" ht="16" hidden="false" customHeight="true" outlineLevel="0" collapsed="false"/>
    <row r="1254" customFormat="false" ht="16" hidden="false" customHeight="true" outlineLevel="0" collapsed="false"/>
    <row r="1255" customFormat="false" ht="16" hidden="false" customHeight="true" outlineLevel="0" collapsed="false"/>
    <row r="1256" customFormat="false" ht="16" hidden="false" customHeight="true" outlineLevel="0" collapsed="false"/>
    <row r="1257" customFormat="false" ht="16" hidden="false" customHeight="true" outlineLevel="0" collapsed="false"/>
    <row r="1258" customFormat="false" ht="16" hidden="false" customHeight="true" outlineLevel="0" collapsed="false"/>
    <row r="1259" customFormat="false" ht="16" hidden="false" customHeight="true" outlineLevel="0" collapsed="false"/>
    <row r="1260" customFormat="false" ht="16" hidden="false" customHeight="true" outlineLevel="0" collapsed="false"/>
    <row r="1261" customFormat="false" ht="16" hidden="false" customHeight="true" outlineLevel="0" collapsed="false"/>
    <row r="1262" customFormat="false" ht="16" hidden="false" customHeight="true" outlineLevel="0" collapsed="false"/>
    <row r="1263" customFormat="false" ht="16" hidden="false" customHeight="true" outlineLevel="0" collapsed="false"/>
    <row r="1264" customFormat="false" ht="16" hidden="false" customHeight="true" outlineLevel="0" collapsed="false"/>
    <row r="1265" customFormat="false" ht="16" hidden="false" customHeight="true" outlineLevel="0" collapsed="false"/>
    <row r="1266" customFormat="false" ht="16" hidden="false" customHeight="true" outlineLevel="0" collapsed="false"/>
    <row r="1267" customFormat="false" ht="16" hidden="false" customHeight="true" outlineLevel="0" collapsed="false"/>
    <row r="1268" customFormat="false" ht="16" hidden="false" customHeight="true" outlineLevel="0" collapsed="false"/>
    <row r="1269" customFormat="false" ht="16" hidden="false" customHeight="true" outlineLevel="0" collapsed="false"/>
    <row r="1270" customFormat="false" ht="16" hidden="false" customHeight="true" outlineLevel="0" collapsed="false"/>
    <row r="1271" customFormat="false" ht="16" hidden="false" customHeight="true" outlineLevel="0" collapsed="false"/>
    <row r="1272" customFormat="false" ht="16" hidden="false" customHeight="true" outlineLevel="0" collapsed="false"/>
    <row r="1273" customFormat="false" ht="16" hidden="false" customHeight="true" outlineLevel="0" collapsed="false"/>
    <row r="1274" customFormat="false" ht="16" hidden="false" customHeight="true" outlineLevel="0" collapsed="false"/>
    <row r="1275" customFormat="false" ht="16" hidden="false" customHeight="true" outlineLevel="0" collapsed="false"/>
    <row r="1276" customFormat="false" ht="16" hidden="false" customHeight="true" outlineLevel="0" collapsed="false"/>
    <row r="1277" customFormat="false" ht="16" hidden="false" customHeight="true" outlineLevel="0" collapsed="false"/>
    <row r="1278" customFormat="false" ht="16" hidden="false" customHeight="true" outlineLevel="0" collapsed="false"/>
    <row r="1279" customFormat="false" ht="16" hidden="false" customHeight="true" outlineLevel="0" collapsed="false"/>
    <row r="1280" customFormat="false" ht="16" hidden="false" customHeight="true" outlineLevel="0" collapsed="false"/>
    <row r="1281" customFormat="false" ht="16" hidden="false" customHeight="true" outlineLevel="0" collapsed="false"/>
    <row r="1282" customFormat="false" ht="16" hidden="false" customHeight="true" outlineLevel="0" collapsed="false"/>
    <row r="1283" customFormat="false" ht="16" hidden="false" customHeight="true" outlineLevel="0" collapsed="false"/>
    <row r="1284" customFormat="false" ht="16" hidden="false" customHeight="true" outlineLevel="0" collapsed="false"/>
    <row r="1285" customFormat="false" ht="16" hidden="false" customHeight="true" outlineLevel="0" collapsed="false"/>
    <row r="1286" customFormat="false" ht="16" hidden="false" customHeight="true" outlineLevel="0" collapsed="false"/>
    <row r="1287" customFormat="false" ht="16" hidden="false" customHeight="true" outlineLevel="0" collapsed="false"/>
    <row r="1288" customFormat="false" ht="16" hidden="false" customHeight="true" outlineLevel="0" collapsed="false"/>
    <row r="1289" customFormat="false" ht="16" hidden="false" customHeight="true" outlineLevel="0" collapsed="false"/>
    <row r="1290" customFormat="false" ht="16" hidden="false" customHeight="true" outlineLevel="0" collapsed="false"/>
    <row r="1291" customFormat="false" ht="16" hidden="false" customHeight="true" outlineLevel="0" collapsed="false"/>
    <row r="1292" customFormat="false" ht="16" hidden="false" customHeight="true" outlineLevel="0" collapsed="false"/>
    <row r="1293" customFormat="false" ht="16" hidden="false" customHeight="true" outlineLevel="0" collapsed="false"/>
    <row r="1294" customFormat="false" ht="16" hidden="false" customHeight="true" outlineLevel="0" collapsed="false"/>
    <row r="1295" customFormat="false" ht="16" hidden="false" customHeight="true" outlineLevel="0" collapsed="false"/>
    <row r="1296" customFormat="false" ht="16" hidden="false" customHeight="true" outlineLevel="0" collapsed="false"/>
    <row r="1297" customFormat="false" ht="16" hidden="false" customHeight="true" outlineLevel="0" collapsed="false"/>
    <row r="1298" customFormat="false" ht="16" hidden="false" customHeight="true" outlineLevel="0" collapsed="false"/>
    <row r="1299" customFormat="false" ht="16" hidden="false" customHeight="true" outlineLevel="0" collapsed="false"/>
    <row r="1300" customFormat="false" ht="16" hidden="false" customHeight="true" outlineLevel="0" collapsed="false"/>
    <row r="1301" customFormat="false" ht="16" hidden="false" customHeight="true" outlineLevel="0" collapsed="false"/>
    <row r="1302" customFormat="false" ht="16" hidden="false" customHeight="true" outlineLevel="0" collapsed="false"/>
    <row r="1303" customFormat="false" ht="16" hidden="false" customHeight="true" outlineLevel="0" collapsed="false"/>
    <row r="1304" customFormat="false" ht="16" hidden="false" customHeight="true" outlineLevel="0" collapsed="false"/>
    <row r="1305" customFormat="false" ht="16" hidden="false" customHeight="true" outlineLevel="0" collapsed="false"/>
    <row r="1306" customFormat="false" ht="16" hidden="false" customHeight="true" outlineLevel="0" collapsed="false"/>
    <row r="1307" customFormat="false" ht="16" hidden="false" customHeight="true" outlineLevel="0" collapsed="false"/>
    <row r="1308" customFormat="false" ht="16" hidden="false" customHeight="true" outlineLevel="0" collapsed="false"/>
    <row r="1309" customFormat="false" ht="16" hidden="false" customHeight="true" outlineLevel="0" collapsed="false"/>
    <row r="1310" customFormat="false" ht="16" hidden="false" customHeight="true" outlineLevel="0" collapsed="false"/>
    <row r="1311" customFormat="false" ht="16" hidden="false" customHeight="true" outlineLevel="0" collapsed="false"/>
    <row r="1312" customFormat="false" ht="16" hidden="false" customHeight="true" outlineLevel="0" collapsed="false"/>
    <row r="1313" customFormat="false" ht="16" hidden="false" customHeight="true" outlineLevel="0" collapsed="false"/>
    <row r="1314" customFormat="false" ht="16" hidden="false" customHeight="true" outlineLevel="0" collapsed="false"/>
    <row r="1315" customFormat="false" ht="16" hidden="false" customHeight="true" outlineLevel="0" collapsed="false"/>
    <row r="1316" customFormat="false" ht="16" hidden="false" customHeight="true" outlineLevel="0" collapsed="false"/>
    <row r="1317" customFormat="false" ht="16" hidden="false" customHeight="true" outlineLevel="0" collapsed="false"/>
    <row r="1318" customFormat="false" ht="16" hidden="false" customHeight="true" outlineLevel="0" collapsed="false"/>
    <row r="1319" customFormat="false" ht="16" hidden="false" customHeight="true" outlineLevel="0" collapsed="false"/>
    <row r="1320" customFormat="false" ht="16" hidden="false" customHeight="true" outlineLevel="0" collapsed="false"/>
    <row r="1321" customFormat="false" ht="16" hidden="false" customHeight="true" outlineLevel="0" collapsed="false"/>
    <row r="1322" customFormat="false" ht="16" hidden="false" customHeight="true" outlineLevel="0" collapsed="false"/>
    <row r="1323" customFormat="false" ht="16" hidden="false" customHeight="true" outlineLevel="0" collapsed="false"/>
    <row r="1324" customFormat="false" ht="16" hidden="false" customHeight="true" outlineLevel="0" collapsed="false"/>
    <row r="1325" customFormat="false" ht="16" hidden="false" customHeight="true" outlineLevel="0" collapsed="false"/>
    <row r="1326" customFormat="false" ht="16" hidden="false" customHeight="true" outlineLevel="0" collapsed="false"/>
    <row r="1327" customFormat="false" ht="16" hidden="false" customHeight="true" outlineLevel="0" collapsed="false"/>
    <row r="1328" customFormat="false" ht="16" hidden="false" customHeight="true" outlineLevel="0" collapsed="false"/>
    <row r="1329" customFormat="false" ht="16" hidden="false" customHeight="true" outlineLevel="0" collapsed="false"/>
    <row r="1330" customFormat="false" ht="16" hidden="false" customHeight="true" outlineLevel="0" collapsed="false"/>
    <row r="1331" customFormat="false" ht="16" hidden="false" customHeight="true" outlineLevel="0" collapsed="false"/>
    <row r="1332" customFormat="false" ht="16" hidden="false" customHeight="true" outlineLevel="0" collapsed="false"/>
    <row r="1333" customFormat="false" ht="16" hidden="false" customHeight="true" outlineLevel="0" collapsed="false"/>
    <row r="1334" customFormat="false" ht="16" hidden="false" customHeight="true" outlineLevel="0" collapsed="false"/>
    <row r="1335" customFormat="false" ht="16" hidden="false" customHeight="true" outlineLevel="0" collapsed="false"/>
    <row r="1336" customFormat="false" ht="16" hidden="false" customHeight="true" outlineLevel="0" collapsed="false"/>
    <row r="1337" customFormat="false" ht="16" hidden="false" customHeight="true" outlineLevel="0" collapsed="false"/>
    <row r="1338" customFormat="false" ht="16" hidden="false" customHeight="true" outlineLevel="0" collapsed="false"/>
    <row r="1339" customFormat="false" ht="16" hidden="false" customHeight="true" outlineLevel="0" collapsed="false"/>
    <row r="1340" customFormat="false" ht="16" hidden="false" customHeight="true" outlineLevel="0" collapsed="false"/>
    <row r="1341" customFormat="false" ht="16" hidden="false" customHeight="true" outlineLevel="0" collapsed="false"/>
    <row r="1342" customFormat="false" ht="16" hidden="false" customHeight="true" outlineLevel="0" collapsed="false"/>
    <row r="1343" customFormat="false" ht="16" hidden="false" customHeight="true" outlineLevel="0" collapsed="false"/>
    <row r="1344" customFormat="false" ht="16" hidden="false" customHeight="true" outlineLevel="0" collapsed="false"/>
    <row r="1345" customFormat="false" ht="16" hidden="false" customHeight="true" outlineLevel="0" collapsed="false"/>
    <row r="1346" customFormat="false" ht="16" hidden="false" customHeight="true" outlineLevel="0" collapsed="false"/>
    <row r="1347" customFormat="false" ht="16" hidden="false" customHeight="true" outlineLevel="0" collapsed="false"/>
    <row r="1348" customFormat="false" ht="16" hidden="false" customHeight="true" outlineLevel="0" collapsed="false"/>
    <row r="1349" customFormat="false" ht="16" hidden="false" customHeight="true" outlineLevel="0" collapsed="false"/>
    <row r="1350" customFormat="false" ht="16" hidden="false" customHeight="true" outlineLevel="0" collapsed="false"/>
    <row r="1351" customFormat="false" ht="16" hidden="false" customHeight="true" outlineLevel="0" collapsed="false"/>
    <row r="1352" customFormat="false" ht="16" hidden="false" customHeight="true" outlineLevel="0" collapsed="false"/>
    <row r="1353" customFormat="false" ht="16" hidden="false" customHeight="true" outlineLevel="0" collapsed="false"/>
    <row r="1354" customFormat="false" ht="16" hidden="false" customHeight="true" outlineLevel="0" collapsed="false"/>
    <row r="1355" customFormat="false" ht="16" hidden="false" customHeight="true" outlineLevel="0" collapsed="false"/>
    <row r="1356" customFormat="false" ht="16" hidden="false" customHeight="true" outlineLevel="0" collapsed="false"/>
    <row r="1357" customFormat="false" ht="16" hidden="false" customHeight="true" outlineLevel="0" collapsed="false"/>
    <row r="1358" customFormat="false" ht="16" hidden="false" customHeight="true" outlineLevel="0" collapsed="false"/>
    <row r="1359" customFormat="false" ht="16" hidden="false" customHeight="true" outlineLevel="0" collapsed="false"/>
    <row r="1360" customFormat="false" ht="16" hidden="false" customHeight="true" outlineLevel="0" collapsed="false"/>
    <row r="1361" customFormat="false" ht="16" hidden="false" customHeight="true" outlineLevel="0" collapsed="false"/>
    <row r="1362" customFormat="false" ht="16" hidden="false" customHeight="true" outlineLevel="0" collapsed="false"/>
    <row r="1363" customFormat="false" ht="16" hidden="false" customHeight="true" outlineLevel="0" collapsed="false"/>
    <row r="1364" customFormat="false" ht="16" hidden="false" customHeight="true" outlineLevel="0" collapsed="false"/>
    <row r="1365" customFormat="false" ht="16" hidden="false" customHeight="true" outlineLevel="0" collapsed="false"/>
    <row r="1366" customFormat="false" ht="16" hidden="false" customHeight="true" outlineLevel="0" collapsed="false"/>
    <row r="1367" customFormat="false" ht="16" hidden="false" customHeight="true" outlineLevel="0" collapsed="false"/>
    <row r="1368" customFormat="false" ht="16" hidden="false" customHeight="true" outlineLevel="0" collapsed="false"/>
    <row r="1369" customFormat="false" ht="16" hidden="false" customHeight="true" outlineLevel="0" collapsed="false"/>
    <row r="1370" customFormat="false" ht="16" hidden="false" customHeight="true" outlineLevel="0" collapsed="false"/>
    <row r="1371" customFormat="false" ht="16" hidden="false" customHeight="true" outlineLevel="0" collapsed="false"/>
    <row r="1372" customFormat="false" ht="16" hidden="false" customHeight="true" outlineLevel="0" collapsed="false"/>
    <row r="1373" customFormat="false" ht="16" hidden="false" customHeight="true" outlineLevel="0" collapsed="false"/>
    <row r="1374" customFormat="false" ht="16" hidden="false" customHeight="true" outlineLevel="0" collapsed="false"/>
    <row r="1375" customFormat="false" ht="16" hidden="false" customHeight="true" outlineLevel="0" collapsed="false"/>
    <row r="1376" customFormat="false" ht="16" hidden="false" customHeight="true" outlineLevel="0" collapsed="false"/>
    <row r="1377" customFormat="false" ht="16" hidden="false" customHeight="true" outlineLevel="0" collapsed="false"/>
    <row r="1378" customFormat="false" ht="16" hidden="false" customHeight="true" outlineLevel="0" collapsed="false"/>
    <row r="1379" customFormat="false" ht="16" hidden="false" customHeight="true" outlineLevel="0" collapsed="false"/>
    <row r="1380" customFormat="false" ht="16" hidden="false" customHeight="true" outlineLevel="0" collapsed="false"/>
    <row r="1381" customFormat="false" ht="16" hidden="false" customHeight="true" outlineLevel="0" collapsed="false"/>
    <row r="1382" customFormat="false" ht="16" hidden="false" customHeight="true" outlineLevel="0" collapsed="false"/>
    <row r="1383" customFormat="false" ht="16" hidden="false" customHeight="true" outlineLevel="0" collapsed="false"/>
    <row r="1384" customFormat="false" ht="16" hidden="false" customHeight="true" outlineLevel="0" collapsed="false"/>
    <row r="1385" customFormat="false" ht="16" hidden="false" customHeight="true" outlineLevel="0" collapsed="false"/>
    <row r="1386" customFormat="false" ht="16" hidden="false" customHeight="true" outlineLevel="0" collapsed="false"/>
    <row r="1387" customFormat="false" ht="16" hidden="false" customHeight="true" outlineLevel="0" collapsed="false"/>
    <row r="1388" customFormat="false" ht="16" hidden="false" customHeight="true" outlineLevel="0" collapsed="false"/>
    <row r="1389" customFormat="false" ht="16" hidden="false" customHeight="true" outlineLevel="0" collapsed="false"/>
    <row r="1390" customFormat="false" ht="16" hidden="false" customHeight="true" outlineLevel="0" collapsed="false"/>
    <row r="1391" customFormat="false" ht="16" hidden="false" customHeight="true" outlineLevel="0" collapsed="false"/>
    <row r="1392" customFormat="false" ht="16" hidden="false" customHeight="true" outlineLevel="0" collapsed="false"/>
    <row r="1393" customFormat="false" ht="16" hidden="false" customHeight="true" outlineLevel="0" collapsed="false"/>
    <row r="1394" customFormat="false" ht="16" hidden="false" customHeight="true" outlineLevel="0" collapsed="false"/>
    <row r="1395" customFormat="false" ht="16" hidden="false" customHeight="true" outlineLevel="0" collapsed="false"/>
    <row r="1396" customFormat="false" ht="16" hidden="false" customHeight="true" outlineLevel="0" collapsed="false"/>
    <row r="1397" customFormat="false" ht="16" hidden="false" customHeight="true" outlineLevel="0" collapsed="false"/>
    <row r="1398" customFormat="false" ht="16" hidden="false" customHeight="true" outlineLevel="0" collapsed="false"/>
    <row r="1399" customFormat="false" ht="16" hidden="false" customHeight="true" outlineLevel="0" collapsed="false"/>
    <row r="1400" customFormat="false" ht="16" hidden="false" customHeight="true" outlineLevel="0" collapsed="false"/>
    <row r="1401" customFormat="false" ht="16" hidden="false" customHeight="true" outlineLevel="0" collapsed="false"/>
    <row r="1402" customFormat="false" ht="16" hidden="false" customHeight="true" outlineLevel="0" collapsed="false"/>
    <row r="1403" customFormat="false" ht="16" hidden="false" customHeight="true" outlineLevel="0" collapsed="false"/>
    <row r="1404" customFormat="false" ht="16" hidden="false" customHeight="true" outlineLevel="0" collapsed="false"/>
    <row r="1405" customFormat="false" ht="16" hidden="false" customHeight="true" outlineLevel="0" collapsed="false"/>
    <row r="1406" customFormat="false" ht="16" hidden="false" customHeight="true" outlineLevel="0" collapsed="false"/>
    <row r="1407" customFormat="false" ht="16" hidden="false" customHeight="true" outlineLevel="0" collapsed="false"/>
    <row r="1408" customFormat="false" ht="16" hidden="false" customHeight="true" outlineLevel="0" collapsed="false"/>
    <row r="1409" customFormat="false" ht="16" hidden="false" customHeight="true" outlineLevel="0" collapsed="false"/>
    <row r="1410" customFormat="false" ht="16" hidden="false" customHeight="true" outlineLevel="0" collapsed="false"/>
    <row r="1411" customFormat="false" ht="16" hidden="false" customHeight="true" outlineLevel="0" collapsed="false"/>
    <row r="1412" customFormat="false" ht="16" hidden="false" customHeight="true" outlineLevel="0" collapsed="false"/>
    <row r="1413" customFormat="false" ht="16" hidden="false" customHeight="true" outlineLevel="0" collapsed="false"/>
    <row r="1414" customFormat="false" ht="16" hidden="false" customHeight="true" outlineLevel="0" collapsed="false"/>
    <row r="1415" customFormat="false" ht="16" hidden="false" customHeight="true" outlineLevel="0" collapsed="false"/>
    <row r="1416" customFormat="false" ht="16" hidden="false" customHeight="true" outlineLevel="0" collapsed="false"/>
    <row r="1417" customFormat="false" ht="16" hidden="false" customHeight="true" outlineLevel="0" collapsed="false"/>
    <row r="1418" customFormat="false" ht="16" hidden="false" customHeight="true" outlineLevel="0" collapsed="false"/>
    <row r="1419" customFormat="false" ht="16" hidden="false" customHeight="true" outlineLevel="0" collapsed="false"/>
    <row r="1420" customFormat="false" ht="16" hidden="false" customHeight="true" outlineLevel="0" collapsed="false"/>
    <row r="1421" customFormat="false" ht="16" hidden="false" customHeight="true" outlineLevel="0" collapsed="false"/>
    <row r="1422" customFormat="false" ht="16" hidden="false" customHeight="true" outlineLevel="0" collapsed="false"/>
    <row r="1423" customFormat="false" ht="16" hidden="false" customHeight="true" outlineLevel="0" collapsed="false"/>
    <row r="1424" customFormat="false" ht="16" hidden="false" customHeight="true" outlineLevel="0" collapsed="false"/>
    <row r="1425" customFormat="false" ht="16" hidden="false" customHeight="true" outlineLevel="0" collapsed="false"/>
    <row r="1426" customFormat="false" ht="16" hidden="false" customHeight="true" outlineLevel="0" collapsed="false"/>
    <row r="1427" customFormat="false" ht="16" hidden="false" customHeight="true" outlineLevel="0" collapsed="false"/>
    <row r="1428" customFormat="false" ht="16" hidden="false" customHeight="true" outlineLevel="0" collapsed="false"/>
    <row r="1429" customFormat="false" ht="16" hidden="false" customHeight="true" outlineLevel="0" collapsed="false"/>
    <row r="1430" customFormat="false" ht="16" hidden="false" customHeight="true" outlineLevel="0" collapsed="false"/>
    <row r="1431" customFormat="false" ht="16" hidden="false" customHeight="true" outlineLevel="0" collapsed="false"/>
    <row r="1432" customFormat="false" ht="16" hidden="false" customHeight="true" outlineLevel="0" collapsed="false"/>
    <row r="1433" customFormat="false" ht="16" hidden="false" customHeight="true" outlineLevel="0" collapsed="false"/>
    <row r="1434" customFormat="false" ht="16" hidden="false" customHeight="true" outlineLevel="0" collapsed="false"/>
    <row r="1435" customFormat="false" ht="16" hidden="false" customHeight="true" outlineLevel="0" collapsed="false"/>
    <row r="1436" customFormat="false" ht="16" hidden="false" customHeight="true" outlineLevel="0" collapsed="false"/>
    <row r="1437" customFormat="false" ht="16" hidden="false" customHeight="true" outlineLevel="0" collapsed="false"/>
    <row r="1438" customFormat="false" ht="16" hidden="false" customHeight="true" outlineLevel="0" collapsed="false"/>
    <row r="1439" customFormat="false" ht="16" hidden="false" customHeight="true" outlineLevel="0" collapsed="false"/>
    <row r="1440" customFormat="false" ht="16" hidden="false" customHeight="true" outlineLevel="0" collapsed="false"/>
    <row r="1441" customFormat="false" ht="16" hidden="false" customHeight="true" outlineLevel="0" collapsed="false"/>
    <row r="1442" customFormat="false" ht="16" hidden="false" customHeight="true" outlineLevel="0" collapsed="false"/>
    <row r="1443" customFormat="false" ht="16" hidden="false" customHeight="true" outlineLevel="0" collapsed="false"/>
    <row r="1444" customFormat="false" ht="16" hidden="false" customHeight="true" outlineLevel="0" collapsed="false"/>
    <row r="1445" customFormat="false" ht="16" hidden="false" customHeight="true" outlineLevel="0" collapsed="false"/>
    <row r="1446" customFormat="false" ht="16" hidden="false" customHeight="true" outlineLevel="0" collapsed="false"/>
    <row r="1447" customFormat="false" ht="16" hidden="false" customHeight="true" outlineLevel="0" collapsed="false"/>
    <row r="1448" customFormat="false" ht="16" hidden="false" customHeight="true" outlineLevel="0" collapsed="false"/>
    <row r="1449" customFormat="false" ht="16" hidden="false" customHeight="true" outlineLevel="0" collapsed="false"/>
    <row r="1450" customFormat="false" ht="16" hidden="false" customHeight="true" outlineLevel="0" collapsed="false"/>
    <row r="1451" customFormat="false" ht="16" hidden="false" customHeight="true" outlineLevel="0" collapsed="false"/>
    <row r="1452" customFormat="false" ht="16" hidden="false" customHeight="true" outlineLevel="0" collapsed="false"/>
    <row r="1453" customFormat="false" ht="16" hidden="false" customHeight="true" outlineLevel="0" collapsed="false"/>
    <row r="1454" customFormat="false" ht="16" hidden="false" customHeight="true" outlineLevel="0" collapsed="false"/>
    <row r="1455" customFormat="false" ht="16" hidden="false" customHeight="true" outlineLevel="0" collapsed="false"/>
    <row r="1456" customFormat="false" ht="16" hidden="false" customHeight="true" outlineLevel="0" collapsed="false"/>
    <row r="1457" customFormat="false" ht="16" hidden="false" customHeight="true" outlineLevel="0" collapsed="false"/>
    <row r="1458" customFormat="false" ht="16" hidden="false" customHeight="true" outlineLevel="0" collapsed="false"/>
    <row r="1459" customFormat="false" ht="16" hidden="false" customHeight="true" outlineLevel="0" collapsed="false"/>
    <row r="1460" customFormat="false" ht="16" hidden="false" customHeight="true" outlineLevel="0" collapsed="false"/>
    <row r="1461" customFormat="false" ht="16" hidden="false" customHeight="true" outlineLevel="0" collapsed="false"/>
    <row r="1462" customFormat="false" ht="16" hidden="false" customHeight="true" outlineLevel="0" collapsed="false"/>
    <row r="1463" customFormat="false" ht="16" hidden="false" customHeight="true" outlineLevel="0" collapsed="false"/>
    <row r="1464" customFormat="false" ht="16" hidden="false" customHeight="true" outlineLevel="0" collapsed="false"/>
    <row r="1465" customFormat="false" ht="16" hidden="false" customHeight="true" outlineLevel="0" collapsed="false"/>
    <row r="1466" customFormat="false" ht="16" hidden="false" customHeight="true" outlineLevel="0" collapsed="false"/>
    <row r="1467" customFormat="false" ht="16" hidden="false" customHeight="true" outlineLevel="0" collapsed="false"/>
    <row r="1468" customFormat="false" ht="16" hidden="false" customHeight="true" outlineLevel="0" collapsed="false"/>
    <row r="1469" customFormat="false" ht="16" hidden="false" customHeight="true" outlineLevel="0" collapsed="false"/>
    <row r="1470" customFormat="false" ht="16" hidden="false" customHeight="true" outlineLevel="0" collapsed="false"/>
    <row r="1471" customFormat="false" ht="16" hidden="false" customHeight="true" outlineLevel="0" collapsed="false"/>
    <row r="1472" customFormat="false" ht="16" hidden="false" customHeight="true" outlineLevel="0" collapsed="false"/>
    <row r="1473" customFormat="false" ht="16" hidden="false" customHeight="true" outlineLevel="0" collapsed="false"/>
    <row r="1474" customFormat="false" ht="16" hidden="false" customHeight="true" outlineLevel="0" collapsed="false"/>
    <row r="1475" customFormat="false" ht="16" hidden="false" customHeight="true" outlineLevel="0" collapsed="false"/>
    <row r="1476" customFormat="false" ht="16" hidden="false" customHeight="true" outlineLevel="0" collapsed="false"/>
    <row r="1477" customFormat="false" ht="16" hidden="false" customHeight="true" outlineLevel="0" collapsed="false"/>
    <row r="1478" customFormat="false" ht="16" hidden="false" customHeight="true" outlineLevel="0" collapsed="false"/>
    <row r="1479" customFormat="false" ht="16" hidden="false" customHeight="true" outlineLevel="0" collapsed="false"/>
    <row r="1480" customFormat="false" ht="16" hidden="false" customHeight="true" outlineLevel="0" collapsed="false"/>
    <row r="1481" customFormat="false" ht="16" hidden="false" customHeight="true" outlineLevel="0" collapsed="false"/>
    <row r="1482" customFormat="false" ht="16" hidden="false" customHeight="true" outlineLevel="0" collapsed="false"/>
    <row r="1483" customFormat="false" ht="16" hidden="false" customHeight="true" outlineLevel="0" collapsed="false"/>
    <row r="1484" customFormat="false" ht="16" hidden="false" customHeight="true" outlineLevel="0" collapsed="false"/>
    <row r="1485" customFormat="false" ht="16" hidden="false" customHeight="true" outlineLevel="0" collapsed="false"/>
    <row r="1486" customFormat="false" ht="16" hidden="false" customHeight="true" outlineLevel="0" collapsed="false"/>
    <row r="1487" customFormat="false" ht="16" hidden="false" customHeight="true" outlineLevel="0" collapsed="false"/>
    <row r="1488" customFormat="false" ht="16" hidden="false" customHeight="true" outlineLevel="0" collapsed="false"/>
    <row r="1489" customFormat="false" ht="16" hidden="false" customHeight="true" outlineLevel="0" collapsed="false"/>
    <row r="1490" customFormat="false" ht="16" hidden="false" customHeight="true" outlineLevel="0" collapsed="false"/>
    <row r="1491" customFormat="false" ht="16" hidden="false" customHeight="true" outlineLevel="0" collapsed="false"/>
    <row r="1492" customFormat="false" ht="16" hidden="false" customHeight="true" outlineLevel="0" collapsed="false"/>
    <row r="1493" customFormat="false" ht="16" hidden="false" customHeight="true" outlineLevel="0" collapsed="false"/>
    <row r="1494" customFormat="false" ht="16" hidden="false" customHeight="true" outlineLevel="0" collapsed="false"/>
    <row r="1495" customFormat="false" ht="16" hidden="false" customHeight="true" outlineLevel="0" collapsed="false"/>
    <row r="1496" customFormat="false" ht="16" hidden="false" customHeight="true" outlineLevel="0" collapsed="false"/>
    <row r="1497" customFormat="false" ht="16" hidden="false" customHeight="true" outlineLevel="0" collapsed="false"/>
    <row r="1498" customFormat="false" ht="16" hidden="false" customHeight="true" outlineLevel="0" collapsed="false"/>
    <row r="1499" customFormat="false" ht="16" hidden="false" customHeight="true" outlineLevel="0" collapsed="false"/>
    <row r="1500" customFormat="false" ht="16" hidden="false" customHeight="true" outlineLevel="0" collapsed="false"/>
    <row r="1501" customFormat="false" ht="16" hidden="false" customHeight="true" outlineLevel="0" collapsed="false"/>
    <row r="1502" customFormat="false" ht="16" hidden="false" customHeight="true" outlineLevel="0" collapsed="false"/>
    <row r="1503" customFormat="false" ht="16" hidden="false" customHeight="true" outlineLevel="0" collapsed="false"/>
    <row r="1504" customFormat="false" ht="16" hidden="false" customHeight="true" outlineLevel="0" collapsed="false"/>
    <row r="1505" customFormat="false" ht="16" hidden="false" customHeight="true" outlineLevel="0" collapsed="false"/>
    <row r="1506" customFormat="false" ht="16" hidden="false" customHeight="true" outlineLevel="0" collapsed="false"/>
    <row r="1507" customFormat="false" ht="16" hidden="false" customHeight="true" outlineLevel="0" collapsed="false"/>
    <row r="1508" customFormat="false" ht="16" hidden="false" customHeight="true" outlineLevel="0" collapsed="false"/>
    <row r="1509" customFormat="false" ht="16" hidden="false" customHeight="true" outlineLevel="0" collapsed="false"/>
    <row r="1510" customFormat="false" ht="16" hidden="false" customHeight="true" outlineLevel="0" collapsed="false"/>
    <row r="1511" customFormat="false" ht="16" hidden="false" customHeight="true" outlineLevel="0" collapsed="false"/>
    <row r="1512" customFormat="false" ht="16" hidden="false" customHeight="true" outlineLevel="0" collapsed="false"/>
    <row r="1513" customFormat="false" ht="16" hidden="false" customHeight="true" outlineLevel="0" collapsed="false"/>
    <row r="1514" customFormat="false" ht="16" hidden="false" customHeight="true" outlineLevel="0" collapsed="false"/>
    <row r="1515" customFormat="false" ht="16" hidden="false" customHeight="true" outlineLevel="0" collapsed="false"/>
    <row r="1516" customFormat="false" ht="16" hidden="false" customHeight="true" outlineLevel="0" collapsed="false"/>
    <row r="1517" customFormat="false" ht="16" hidden="false" customHeight="true" outlineLevel="0" collapsed="false"/>
    <row r="1518" customFormat="false" ht="16" hidden="false" customHeight="true" outlineLevel="0" collapsed="false"/>
    <row r="1519" customFormat="false" ht="16" hidden="false" customHeight="true" outlineLevel="0" collapsed="false"/>
    <row r="1520" customFormat="false" ht="16" hidden="false" customHeight="true" outlineLevel="0" collapsed="false"/>
    <row r="1521" customFormat="false" ht="16" hidden="false" customHeight="true" outlineLevel="0" collapsed="false"/>
    <row r="1522" customFormat="false" ht="16" hidden="false" customHeight="true" outlineLevel="0" collapsed="false"/>
    <row r="1523" customFormat="false" ht="16" hidden="false" customHeight="true" outlineLevel="0" collapsed="false"/>
    <row r="1524" customFormat="false" ht="16" hidden="false" customHeight="true" outlineLevel="0" collapsed="false"/>
    <row r="1525" customFormat="false" ht="16" hidden="false" customHeight="true" outlineLevel="0" collapsed="false"/>
    <row r="1526" customFormat="false" ht="16" hidden="false" customHeight="true" outlineLevel="0" collapsed="false"/>
    <row r="1527" customFormat="false" ht="16" hidden="false" customHeight="true" outlineLevel="0" collapsed="false"/>
    <row r="1528" customFormat="false" ht="16" hidden="false" customHeight="true" outlineLevel="0" collapsed="false"/>
    <row r="1529" customFormat="false" ht="16" hidden="false" customHeight="true" outlineLevel="0" collapsed="false"/>
    <row r="1530" customFormat="false" ht="16" hidden="false" customHeight="true" outlineLevel="0" collapsed="false"/>
    <row r="1531" customFormat="false" ht="16" hidden="false" customHeight="true" outlineLevel="0" collapsed="false"/>
    <row r="1532" customFormat="false" ht="16" hidden="false" customHeight="true" outlineLevel="0" collapsed="false"/>
    <row r="1533" customFormat="false" ht="16" hidden="false" customHeight="true" outlineLevel="0" collapsed="false"/>
    <row r="1534" customFormat="false" ht="16" hidden="false" customHeight="true" outlineLevel="0" collapsed="false"/>
    <row r="1535" customFormat="false" ht="16" hidden="false" customHeight="true" outlineLevel="0" collapsed="false"/>
    <row r="1536" customFormat="false" ht="16" hidden="false" customHeight="true" outlineLevel="0" collapsed="false"/>
    <row r="1537" customFormat="false" ht="16" hidden="false" customHeight="true" outlineLevel="0" collapsed="false"/>
    <row r="1538" customFormat="false" ht="16" hidden="false" customHeight="true" outlineLevel="0" collapsed="false"/>
    <row r="1539" customFormat="false" ht="16" hidden="false" customHeight="true" outlineLevel="0" collapsed="false"/>
    <row r="1540" customFormat="false" ht="16" hidden="false" customHeight="true" outlineLevel="0" collapsed="false"/>
    <row r="1541" customFormat="false" ht="16" hidden="false" customHeight="true" outlineLevel="0" collapsed="false"/>
    <row r="1542" customFormat="false" ht="16" hidden="false" customHeight="true" outlineLevel="0" collapsed="false"/>
    <row r="1543" customFormat="false" ht="16" hidden="false" customHeight="true" outlineLevel="0" collapsed="false"/>
    <row r="1544" customFormat="false" ht="16" hidden="false" customHeight="true" outlineLevel="0" collapsed="false"/>
    <row r="1545" customFormat="false" ht="16" hidden="false" customHeight="true" outlineLevel="0" collapsed="false"/>
    <row r="1546" customFormat="false" ht="16" hidden="false" customHeight="true" outlineLevel="0" collapsed="false"/>
    <row r="1547" customFormat="false" ht="16" hidden="false" customHeight="true" outlineLevel="0" collapsed="false"/>
    <row r="1548" customFormat="false" ht="16" hidden="false" customHeight="true" outlineLevel="0" collapsed="false"/>
    <row r="1549" customFormat="false" ht="16" hidden="false" customHeight="true" outlineLevel="0" collapsed="false"/>
    <row r="1550" customFormat="false" ht="16" hidden="false" customHeight="true" outlineLevel="0" collapsed="false"/>
    <row r="1551" customFormat="false" ht="16" hidden="false" customHeight="true" outlineLevel="0" collapsed="false"/>
    <row r="1552" customFormat="false" ht="16" hidden="false" customHeight="true" outlineLevel="0" collapsed="false"/>
    <row r="1553" customFormat="false" ht="16" hidden="false" customHeight="true" outlineLevel="0" collapsed="false"/>
    <row r="1554" customFormat="false" ht="16" hidden="false" customHeight="true" outlineLevel="0" collapsed="false"/>
    <row r="1555" customFormat="false" ht="16" hidden="false" customHeight="true" outlineLevel="0" collapsed="false"/>
    <row r="1556" customFormat="false" ht="16" hidden="false" customHeight="true" outlineLevel="0" collapsed="false"/>
    <row r="1557" customFormat="false" ht="16" hidden="false" customHeight="true" outlineLevel="0" collapsed="false"/>
    <row r="1558" customFormat="false" ht="16" hidden="false" customHeight="true" outlineLevel="0" collapsed="false"/>
    <row r="1559" customFormat="false" ht="16" hidden="false" customHeight="true" outlineLevel="0" collapsed="false"/>
    <row r="1560" customFormat="false" ht="16" hidden="false" customHeight="true" outlineLevel="0" collapsed="false"/>
    <row r="1561" customFormat="false" ht="16" hidden="false" customHeight="true" outlineLevel="0" collapsed="false"/>
    <row r="1562" customFormat="false" ht="16" hidden="false" customHeight="true" outlineLevel="0" collapsed="false"/>
    <row r="1563" customFormat="false" ht="16" hidden="false" customHeight="true" outlineLevel="0" collapsed="false"/>
    <row r="1564" customFormat="false" ht="16" hidden="false" customHeight="true" outlineLevel="0" collapsed="false"/>
    <row r="1565" customFormat="false" ht="16" hidden="false" customHeight="true" outlineLevel="0" collapsed="false"/>
    <row r="1566" customFormat="false" ht="16" hidden="false" customHeight="true" outlineLevel="0" collapsed="false"/>
    <row r="1567" customFormat="false" ht="16" hidden="false" customHeight="true" outlineLevel="0" collapsed="false"/>
    <row r="1568" customFormat="false" ht="16" hidden="false" customHeight="true" outlineLevel="0" collapsed="false"/>
    <row r="1569" customFormat="false" ht="16" hidden="false" customHeight="true" outlineLevel="0" collapsed="false"/>
    <row r="1570" customFormat="false" ht="16" hidden="false" customHeight="true" outlineLevel="0" collapsed="false"/>
    <row r="1571" customFormat="false" ht="16" hidden="false" customHeight="true" outlineLevel="0" collapsed="false"/>
    <row r="1572" customFormat="false" ht="16" hidden="false" customHeight="true" outlineLevel="0" collapsed="false"/>
    <row r="1573" customFormat="false" ht="16" hidden="false" customHeight="true" outlineLevel="0" collapsed="false"/>
    <row r="1574" customFormat="false" ht="16" hidden="false" customHeight="true" outlineLevel="0" collapsed="false"/>
    <row r="1575" customFormat="false" ht="16" hidden="false" customHeight="true" outlineLevel="0" collapsed="false"/>
    <row r="1576" customFormat="false" ht="16" hidden="false" customHeight="true" outlineLevel="0" collapsed="false"/>
    <row r="1577" customFormat="false" ht="16" hidden="false" customHeight="true" outlineLevel="0" collapsed="false"/>
    <row r="1578" customFormat="false" ht="16" hidden="false" customHeight="true" outlineLevel="0" collapsed="false"/>
    <row r="1579" customFormat="false" ht="16" hidden="false" customHeight="true" outlineLevel="0" collapsed="false"/>
    <row r="1580" customFormat="false" ht="16" hidden="false" customHeight="true" outlineLevel="0" collapsed="false"/>
    <row r="1581" customFormat="false" ht="16" hidden="false" customHeight="true" outlineLevel="0" collapsed="false"/>
    <row r="1582" customFormat="false" ht="16" hidden="false" customHeight="true" outlineLevel="0" collapsed="false"/>
    <row r="1583" customFormat="false" ht="16" hidden="false" customHeight="true" outlineLevel="0" collapsed="false"/>
    <row r="1584" customFormat="false" ht="16" hidden="false" customHeight="true" outlineLevel="0" collapsed="false"/>
    <row r="1585" customFormat="false" ht="16" hidden="false" customHeight="true" outlineLevel="0" collapsed="false"/>
    <row r="1586" customFormat="false" ht="16" hidden="false" customHeight="true" outlineLevel="0" collapsed="false"/>
    <row r="1587" customFormat="false" ht="16" hidden="false" customHeight="true" outlineLevel="0" collapsed="false"/>
    <row r="1588" customFormat="false" ht="16" hidden="false" customHeight="true" outlineLevel="0" collapsed="false"/>
    <row r="1589" customFormat="false" ht="16" hidden="false" customHeight="true" outlineLevel="0" collapsed="false"/>
    <row r="1590" customFormat="false" ht="16" hidden="false" customHeight="true" outlineLevel="0" collapsed="false"/>
    <row r="1591" customFormat="false" ht="16" hidden="false" customHeight="true" outlineLevel="0" collapsed="false"/>
    <row r="1592" customFormat="false" ht="16" hidden="false" customHeight="true" outlineLevel="0" collapsed="false"/>
    <row r="1593" customFormat="false" ht="16" hidden="false" customHeight="true" outlineLevel="0" collapsed="false"/>
    <row r="1594" customFormat="false" ht="16" hidden="false" customHeight="true" outlineLevel="0" collapsed="false"/>
    <row r="1595" customFormat="false" ht="16" hidden="false" customHeight="true" outlineLevel="0" collapsed="false"/>
    <row r="1596" customFormat="false" ht="16" hidden="false" customHeight="true" outlineLevel="0" collapsed="false"/>
    <row r="1597" customFormat="false" ht="16" hidden="false" customHeight="true" outlineLevel="0" collapsed="false"/>
    <row r="1598" customFormat="false" ht="16" hidden="false" customHeight="true" outlineLevel="0" collapsed="false"/>
    <row r="1599" customFormat="false" ht="16" hidden="false" customHeight="true" outlineLevel="0" collapsed="false"/>
    <row r="1600" customFormat="false" ht="16" hidden="false" customHeight="true" outlineLevel="0" collapsed="false"/>
    <row r="1601" customFormat="false" ht="16" hidden="false" customHeight="true" outlineLevel="0" collapsed="false"/>
    <row r="1602" customFormat="false" ht="16" hidden="false" customHeight="true" outlineLevel="0" collapsed="false"/>
    <row r="1603" customFormat="false" ht="16" hidden="false" customHeight="true" outlineLevel="0" collapsed="false"/>
    <row r="1604" customFormat="false" ht="16" hidden="false" customHeight="true" outlineLevel="0" collapsed="false"/>
    <row r="1605" customFormat="false" ht="16" hidden="false" customHeight="true" outlineLevel="0" collapsed="false"/>
    <row r="1606" customFormat="false" ht="16" hidden="false" customHeight="true" outlineLevel="0" collapsed="false"/>
    <row r="1607" customFormat="false" ht="16" hidden="false" customHeight="true" outlineLevel="0" collapsed="false"/>
    <row r="1608" customFormat="false" ht="16" hidden="false" customHeight="true" outlineLevel="0" collapsed="false"/>
    <row r="1609" customFormat="false" ht="16" hidden="false" customHeight="true" outlineLevel="0" collapsed="false"/>
    <row r="1610" customFormat="false" ht="16" hidden="false" customHeight="true" outlineLevel="0" collapsed="false"/>
    <row r="1611" customFormat="false" ht="16" hidden="false" customHeight="true" outlineLevel="0" collapsed="false"/>
    <row r="1612" customFormat="false" ht="16" hidden="false" customHeight="true" outlineLevel="0" collapsed="false"/>
    <row r="1613" customFormat="false" ht="16" hidden="false" customHeight="true" outlineLevel="0" collapsed="false"/>
    <row r="1614" customFormat="false" ht="16" hidden="false" customHeight="true" outlineLevel="0" collapsed="false"/>
    <row r="1615" customFormat="false" ht="16" hidden="false" customHeight="true" outlineLevel="0" collapsed="false"/>
    <row r="1616" customFormat="false" ht="16" hidden="false" customHeight="true" outlineLevel="0" collapsed="false"/>
    <row r="1617" customFormat="false" ht="16" hidden="false" customHeight="true" outlineLevel="0" collapsed="false"/>
    <row r="1618" customFormat="false" ht="16" hidden="false" customHeight="true" outlineLevel="0" collapsed="false"/>
    <row r="1619" customFormat="false" ht="16" hidden="false" customHeight="true" outlineLevel="0" collapsed="false"/>
    <row r="1620" customFormat="false" ht="16" hidden="false" customHeight="true" outlineLevel="0" collapsed="false"/>
    <row r="1621" customFormat="false" ht="16" hidden="false" customHeight="true" outlineLevel="0" collapsed="false"/>
    <row r="1622" customFormat="false" ht="16" hidden="false" customHeight="true" outlineLevel="0" collapsed="false"/>
    <row r="1623" customFormat="false" ht="16" hidden="false" customHeight="true" outlineLevel="0" collapsed="false"/>
    <row r="1624" customFormat="false" ht="16" hidden="false" customHeight="true" outlineLevel="0" collapsed="false"/>
    <row r="1625" customFormat="false" ht="16" hidden="false" customHeight="true" outlineLevel="0" collapsed="false"/>
    <row r="1626" customFormat="false" ht="16" hidden="false" customHeight="true" outlineLevel="0" collapsed="false"/>
    <row r="1627" customFormat="false" ht="16" hidden="false" customHeight="true" outlineLevel="0" collapsed="false"/>
    <row r="1628" customFormat="false" ht="16" hidden="false" customHeight="true" outlineLevel="0" collapsed="false"/>
    <row r="1629" customFormat="false" ht="16" hidden="false" customHeight="true" outlineLevel="0" collapsed="false"/>
    <row r="1630" customFormat="false" ht="16" hidden="false" customHeight="true" outlineLevel="0" collapsed="false"/>
    <row r="1631" customFormat="false" ht="16" hidden="false" customHeight="true" outlineLevel="0" collapsed="false"/>
    <row r="1632" customFormat="false" ht="16" hidden="false" customHeight="true" outlineLevel="0" collapsed="false"/>
    <row r="1633" customFormat="false" ht="16" hidden="false" customHeight="true" outlineLevel="0" collapsed="false"/>
    <row r="1634" customFormat="false" ht="16" hidden="false" customHeight="true" outlineLevel="0" collapsed="false"/>
    <row r="1635" customFormat="false" ht="16" hidden="false" customHeight="true" outlineLevel="0" collapsed="false"/>
    <row r="1636" customFormat="false" ht="16" hidden="false" customHeight="true" outlineLevel="0" collapsed="false"/>
    <row r="1637" customFormat="false" ht="16" hidden="false" customHeight="true" outlineLevel="0" collapsed="false"/>
    <row r="1638" customFormat="false" ht="16" hidden="false" customHeight="true" outlineLevel="0" collapsed="false"/>
    <row r="1639" customFormat="false" ht="16" hidden="false" customHeight="true" outlineLevel="0" collapsed="false">
      <c r="D1639" s="2" t="s">
        <v>142</v>
      </c>
    </row>
    <row r="1640" customFormat="false" ht="16" hidden="false" customHeight="true" outlineLevel="0" collapsed="false">
      <c r="A1640" s="10" t="s">
        <v>143</v>
      </c>
      <c r="B1640" s="10" t="s">
        <v>143</v>
      </c>
      <c r="C1640" s="10" t="s">
        <v>143</v>
      </c>
      <c r="D1640" s="10" t="s">
        <v>143</v>
      </c>
      <c r="E1640" s="10" t="s">
        <v>143</v>
      </c>
      <c r="F1640" s="10" t="s">
        <v>143</v>
      </c>
      <c r="G1640" s="10" t="s">
        <v>143</v>
      </c>
    </row>
    <row r="1641" customFormat="false" ht="16" hidden="false" customHeight="true" outlineLevel="0" collapsed="false"/>
    <row r="1642" customFormat="false" ht="16" hidden="false" customHeight="true" outlineLevel="0" collapsed="false"/>
    <row r="1643" customFormat="false" ht="16" hidden="false" customHeight="true" outlineLevel="0" collapsed="false">
      <c r="A1643" s="4" t="s">
        <v>144</v>
      </c>
    </row>
    <row r="1644" customFormat="false" ht="16" hidden="false" customHeight="true" outlineLevel="0" collapsed="false">
      <c r="D1644" s="4" t="s">
        <v>145</v>
      </c>
      <c r="E1644" s="4" t="s">
        <v>146</v>
      </c>
    </row>
    <row r="1645" customFormat="false" ht="16" hidden="false" customHeight="true" outlineLevel="0" collapsed="false">
      <c r="B1645" s="2" t="s">
        <v>147</v>
      </c>
      <c r="E1645" s="4" t="s">
        <v>148</v>
      </c>
    </row>
    <row r="1646" customFormat="false" ht="16" hidden="false" customHeight="true" outlineLevel="0" collapsed="false">
      <c r="A1646" s="4" t="s">
        <v>149</v>
      </c>
      <c r="B1646" s="4" t="s">
        <v>150</v>
      </c>
    </row>
    <row r="1647" customFormat="false" ht="16" hidden="false" customHeight="true" outlineLevel="0" collapsed="false"/>
    <row r="1648" customFormat="false" ht="16" hidden="false" customHeight="true" outlineLevel="0" collapsed="false">
      <c r="D1648" s="4" t="s">
        <v>151</v>
      </c>
      <c r="E1648" s="2" t="s">
        <v>152</v>
      </c>
    </row>
    <row r="1649" customFormat="false" ht="16" hidden="false" customHeight="true" outlineLevel="0" collapsed="false">
      <c r="E1649" s="4" t="s">
        <v>153</v>
      </c>
    </row>
    <row r="1650" customFormat="false" ht="16" hidden="false" customHeight="true" outlineLevel="0" collapsed="false"/>
    <row r="1651" customFormat="false" ht="16" hidden="false" customHeight="true" outlineLevel="0" collapsed="false">
      <c r="B1651" s="2" t="s">
        <v>154</v>
      </c>
    </row>
    <row r="1652" customFormat="false" ht="16" hidden="false" customHeight="true" outlineLevel="0" collapsed="false">
      <c r="A1652" s="4" t="s">
        <v>155</v>
      </c>
      <c r="B1652" s="4" t="s">
        <v>156</v>
      </c>
      <c r="D1652" s="4" t="s">
        <v>157</v>
      </c>
      <c r="E1652" s="4" t="s">
        <v>158</v>
      </c>
    </row>
    <row r="1653" customFormat="false" ht="16" hidden="false" customHeight="true" outlineLevel="0" collapsed="false">
      <c r="E1653" s="4" t="s">
        <v>159</v>
      </c>
    </row>
    <row r="1654" customFormat="false" ht="16" hidden="false" customHeight="true" outlineLevel="0" collapsed="false">
      <c r="B1654" s="2" t="s">
        <v>160</v>
      </c>
    </row>
    <row r="1655" customFormat="false" ht="16" hidden="false" customHeight="true" outlineLevel="0" collapsed="false">
      <c r="A1655" s="4" t="s">
        <v>161</v>
      </c>
      <c r="B1655" s="2" t="s">
        <v>162</v>
      </c>
      <c r="D1655" s="4" t="s">
        <v>163</v>
      </c>
      <c r="E1655" s="4" t="s">
        <v>164</v>
      </c>
    </row>
    <row r="1656" customFormat="false" ht="16" hidden="false" customHeight="true" outlineLevel="0" collapsed="false">
      <c r="E1656" s="4" t="s">
        <v>165</v>
      </c>
    </row>
    <row r="1657" customFormat="false" ht="16" hidden="false" customHeight="true" outlineLevel="0" collapsed="false"/>
    <row r="1658" customFormat="false" ht="16" hidden="false" customHeight="true" outlineLevel="0" collapsed="false"/>
    <row r="1659" customFormat="false" ht="16" hidden="false" customHeight="true" outlineLevel="0" collapsed="false">
      <c r="C1659" s="2" t="s">
        <v>166</v>
      </c>
      <c r="G1659" s="10" t="s">
        <v>143</v>
      </c>
    </row>
    <row r="1660" customFormat="false" ht="16" hidden="false" customHeight="true" outlineLevel="0" collapsed="false">
      <c r="A1660" s="10" t="s">
        <v>167</v>
      </c>
      <c r="B1660" s="10" t="s">
        <v>167</v>
      </c>
      <c r="C1660" s="10" t="s">
        <v>167</v>
      </c>
      <c r="D1660" s="10" t="s">
        <v>167</v>
      </c>
      <c r="E1660" s="10" t="s">
        <v>167</v>
      </c>
      <c r="F1660" s="10" t="s">
        <v>167</v>
      </c>
      <c r="G1660" s="4" t="s">
        <v>168</v>
      </c>
    </row>
    <row r="1661" customFormat="false" ht="16" hidden="false" customHeight="true" outlineLevel="0" collapsed="false">
      <c r="A1661" s="4" t="s">
        <v>169</v>
      </c>
      <c r="B1661" s="4" t="s">
        <v>170</v>
      </c>
      <c r="G1661" s="4" t="s">
        <v>168</v>
      </c>
    </row>
    <row r="1662" customFormat="false" ht="16" hidden="false" customHeight="true" outlineLevel="0" collapsed="false">
      <c r="A1662" s="4" t="s">
        <v>171</v>
      </c>
      <c r="B1662" s="4" t="s">
        <v>172</v>
      </c>
    </row>
    <row r="1663" customFormat="false" ht="16" hidden="false" customHeight="true" outlineLevel="0" collapsed="false"/>
    <row r="1664" customFormat="false" ht="16" hidden="false" customHeight="true" outlineLevel="0" collapsed="false">
      <c r="A1664" s="4" t="s">
        <v>173</v>
      </c>
      <c r="B1664" s="4" t="s">
        <v>174</v>
      </c>
      <c r="C1664" s="4" t="s">
        <v>175</v>
      </c>
      <c r="D1664" s="4" t="s">
        <v>176</v>
      </c>
      <c r="E1664" s="4" t="s">
        <v>177</v>
      </c>
      <c r="F1664" s="4" t="s">
        <v>178</v>
      </c>
      <c r="G1664" s="4" t="s">
        <v>179</v>
      </c>
      <c r="H1664" s="4" t="s">
        <v>180</v>
      </c>
    </row>
    <row r="1665" customFormat="false" ht="16" hidden="false" customHeight="true" outlineLevel="0" collapsed="false">
      <c r="B1665" s="4" t="s">
        <v>181</v>
      </c>
      <c r="C1665" s="4" t="s">
        <v>182</v>
      </c>
      <c r="D1665" s="4" t="s">
        <v>183</v>
      </c>
      <c r="E1665" s="4" t="s">
        <v>184</v>
      </c>
      <c r="F1665" s="4" t="s">
        <v>185</v>
      </c>
      <c r="G1665" s="4" t="s">
        <v>186</v>
      </c>
      <c r="H1665" s="4" t="s">
        <v>180</v>
      </c>
    </row>
    <row r="1666" customFormat="false" ht="16" hidden="false" customHeight="true" outlineLevel="0" collapsed="false">
      <c r="B1666" s="4" t="s">
        <v>187</v>
      </c>
      <c r="C1666" s="4" t="s">
        <v>188</v>
      </c>
      <c r="D1666" s="4" t="s">
        <v>189</v>
      </c>
      <c r="E1666" s="4" t="s">
        <v>190</v>
      </c>
      <c r="F1666" s="4" t="s">
        <v>191</v>
      </c>
      <c r="G1666" s="4" t="s">
        <v>192</v>
      </c>
      <c r="H1666" s="4" t="s">
        <v>193</v>
      </c>
      <c r="I1666" s="4" t="s">
        <v>194</v>
      </c>
    </row>
    <row r="1667" customFormat="false" ht="16" hidden="false" customHeight="true" outlineLevel="0" collapsed="false"/>
    <row r="1668" customFormat="false" ht="16" hidden="false" customHeight="true" outlineLevel="0" collapsed="false">
      <c r="A1668" s="4" t="s">
        <v>195</v>
      </c>
      <c r="B1668" s="4" t="s">
        <v>196</v>
      </c>
    </row>
    <row r="1669" customFormat="false" ht="16" hidden="false" customHeight="true" outlineLevel="0" collapsed="false">
      <c r="B1669" s="4" t="s">
        <v>197</v>
      </c>
    </row>
    <row r="1670" customFormat="false" ht="16" hidden="false" customHeight="true" outlineLevel="0" collapsed="false">
      <c r="B1670" s="4" t="s">
        <v>198</v>
      </c>
    </row>
    <row r="1671" customFormat="false" ht="16" hidden="false" customHeight="true" outlineLevel="0" collapsed="false">
      <c r="B1671" s="4" t="s">
        <v>199</v>
      </c>
    </row>
    <row r="1672" customFormat="false" ht="16" hidden="false" customHeight="true" outlineLevel="0" collapsed="false">
      <c r="B1672" s="4" t="s">
        <v>200</v>
      </c>
    </row>
    <row r="1673" customFormat="false" ht="16" hidden="false" customHeight="true" outlineLevel="0" collapsed="false">
      <c r="B1673" s="4" t="s">
        <v>201</v>
      </c>
    </row>
    <row r="1674" customFormat="false" ht="16" hidden="false" customHeight="true" outlineLevel="0" collapsed="false">
      <c r="B1674" s="4" t="s">
        <v>202</v>
      </c>
    </row>
    <row r="1675" customFormat="false" ht="16" hidden="false" customHeight="true" outlineLevel="0" collapsed="false">
      <c r="B1675" s="4" t="s">
        <v>203</v>
      </c>
    </row>
    <row r="1676" customFormat="false" ht="16" hidden="false" customHeight="true" outlineLevel="0" collapsed="false">
      <c r="B1676" s="4" t="s">
        <v>204</v>
      </c>
    </row>
    <row r="1677" customFormat="false" ht="16" hidden="false" customHeight="true" outlineLevel="0" collapsed="false">
      <c r="B1677" s="4" t="s">
        <v>205</v>
      </c>
    </row>
    <row r="1678" customFormat="false" ht="16" hidden="false" customHeight="true" outlineLevel="0" collapsed="false">
      <c r="B1678" s="4" t="s">
        <v>206</v>
      </c>
    </row>
    <row r="1679" customFormat="false" ht="16" hidden="false" customHeight="true" outlineLevel="0" collapsed="false">
      <c r="B1679" s="4" t="s">
        <v>207</v>
      </c>
    </row>
    <row r="1680" customFormat="false" ht="16" hidden="false" customHeight="true" outlineLevel="0" collapsed="false">
      <c r="B1680" s="4" t="s">
        <v>194</v>
      </c>
    </row>
    <row r="1681" customFormat="false" ht="16" hidden="false" customHeight="true" outlineLevel="0" collapsed="false"/>
    <row r="1682" customFormat="false" ht="16" hidden="false" customHeight="true" outlineLevel="0" collapsed="false">
      <c r="A1682" s="4" t="s">
        <v>208</v>
      </c>
      <c r="B1682" s="4" t="s">
        <v>209</v>
      </c>
    </row>
    <row r="1683" customFormat="false" ht="16" hidden="false" customHeight="true" outlineLevel="0" collapsed="false">
      <c r="B1683" s="4" t="s">
        <v>210</v>
      </c>
    </row>
    <row r="1684" customFormat="false" ht="16" hidden="false" customHeight="true" outlineLevel="0" collapsed="false"/>
    <row r="1685" customFormat="false" ht="16" hidden="false" customHeight="true" outlineLevel="0" collapsed="false">
      <c r="A1685" s="4" t="s">
        <v>211</v>
      </c>
      <c r="B1685" s="4"/>
    </row>
    <row r="1686" customFormat="false" ht="16" hidden="false" customHeight="true" outlineLevel="0" collapsed="false"/>
    <row r="1687" customFormat="false" ht="16" hidden="false" customHeight="true" outlineLevel="0" collapsed="false"/>
    <row r="1688" customFormat="false" ht="16" hidden="false" customHeight="true" outlineLevel="0" collapsed="false">
      <c r="A1688" s="4" t="s">
        <v>212</v>
      </c>
      <c r="B1688" s="4" t="s">
        <v>59</v>
      </c>
      <c r="C1688" s="4" t="s">
        <v>58</v>
      </c>
      <c r="D1688" s="4" t="s">
        <v>213</v>
      </c>
    </row>
    <row r="1689" customFormat="false" ht="16" hidden="false" customHeight="true" outlineLevel="0" collapsed="false">
      <c r="B1689" s="4" t="s">
        <v>214</v>
      </c>
      <c r="C1689" s="4" t="s">
        <v>215</v>
      </c>
      <c r="D1689" s="4" t="s">
        <v>216</v>
      </c>
    </row>
    <row r="1690" customFormat="false" ht="16" hidden="false" customHeight="true" outlineLevel="0" collapsed="false">
      <c r="B1690" s="4" t="s">
        <v>217</v>
      </c>
      <c r="C1690" s="4" t="s">
        <v>218</v>
      </c>
      <c r="D1690" s="4" t="s">
        <v>194</v>
      </c>
      <c r="E1690" s="4" t="s">
        <v>194</v>
      </c>
    </row>
    <row r="1691" customFormat="false" ht="16" hidden="false" customHeight="true" outlineLevel="0" collapsed="false"/>
    <row r="1692" customFormat="false" ht="16" hidden="false" customHeight="true" outlineLevel="0" collapsed="false"/>
    <row r="1693" customFormat="false" ht="16" hidden="false" customHeight="true" outlineLevel="0" collapsed="false">
      <c r="A1693" s="4" t="s">
        <v>219</v>
      </c>
      <c r="B1693" s="4" t="s">
        <v>220</v>
      </c>
    </row>
    <row r="1694" customFormat="false" ht="16" hidden="false" customHeight="true" outlineLevel="0" collapsed="false">
      <c r="B1694" s="4" t="s">
        <v>221</v>
      </c>
    </row>
    <row r="1695" customFormat="false" ht="16" hidden="false" customHeight="true" outlineLevel="0" collapsed="false">
      <c r="B1695" s="4" t="s">
        <v>222</v>
      </c>
    </row>
    <row r="1696" customFormat="false" ht="16" hidden="false" customHeight="true" outlineLevel="0" collapsed="false">
      <c r="B1696" s="4" t="s">
        <v>223</v>
      </c>
    </row>
    <row r="1697" customFormat="false" ht="16" hidden="false" customHeight="true" outlineLevel="0" collapsed="false">
      <c r="B1697" s="4" t="s">
        <v>224</v>
      </c>
    </row>
    <row r="1698" customFormat="false" ht="16" hidden="false" customHeight="true" outlineLevel="0" collapsed="false">
      <c r="B1698" s="4" t="s">
        <v>188</v>
      </c>
    </row>
    <row r="1699" customFormat="false" ht="16" hidden="false" customHeight="true" outlineLevel="0" collapsed="false"/>
    <row r="1700" customFormat="false" ht="16" hidden="false" customHeight="true" outlineLevel="0" collapsed="false">
      <c r="A1700" s="4" t="s">
        <v>225</v>
      </c>
      <c r="B1700" s="4" t="s">
        <v>226</v>
      </c>
    </row>
    <row r="1701" customFormat="false" ht="16" hidden="false" customHeight="true" outlineLevel="0" collapsed="false">
      <c r="B1701" s="4" t="s">
        <v>221</v>
      </c>
    </row>
    <row r="1702" customFormat="false" ht="16" hidden="false" customHeight="true" outlineLevel="0" collapsed="false">
      <c r="A1702" s="4" t="s">
        <v>227</v>
      </c>
      <c r="B1702" s="4" t="s">
        <v>228</v>
      </c>
    </row>
    <row r="1703" customFormat="false" ht="16" hidden="false" customHeight="true" outlineLevel="0" collapsed="false">
      <c r="A1703" s="4" t="s">
        <v>229</v>
      </c>
      <c r="B1703" s="4" t="s">
        <v>230</v>
      </c>
    </row>
    <row r="1704" customFormat="false" ht="16" hidden="false" customHeight="true" outlineLevel="0" collapsed="false">
      <c r="A1704" s="4" t="s">
        <v>231</v>
      </c>
      <c r="B1704" s="4" t="s">
        <v>232</v>
      </c>
    </row>
    <row r="1705" customFormat="false" ht="16" hidden="false" customHeight="true" outlineLevel="0" collapsed="false">
      <c r="A1705" s="4" t="s">
        <v>233</v>
      </c>
      <c r="B1705" s="4" t="s">
        <v>234</v>
      </c>
    </row>
    <row r="1706" customFormat="false" ht="16" hidden="false" customHeight="true" outlineLevel="0" collapsed="false">
      <c r="B1706" s="4" t="s">
        <v>224</v>
      </c>
    </row>
    <row r="1707" customFormat="false" ht="16" hidden="false" customHeight="true" outlineLevel="0" collapsed="false">
      <c r="B1707" s="4" t="s">
        <v>188</v>
      </c>
    </row>
    <row r="1708" customFormat="false" ht="16" hidden="false" customHeight="true" outlineLevel="0" collapsed="false"/>
    <row r="1709" customFormat="false" ht="16" hidden="false" customHeight="true" outlineLevel="0" collapsed="false">
      <c r="A1709" s="4" t="s">
        <v>235</v>
      </c>
      <c r="B1709" s="4" t="s">
        <v>236</v>
      </c>
      <c r="C1709" s="4" t="s">
        <v>237</v>
      </c>
      <c r="D1709" s="4" t="s">
        <v>213</v>
      </c>
    </row>
    <row r="1710" customFormat="false" ht="16" hidden="false" customHeight="true" outlineLevel="0" collapsed="false">
      <c r="B1710" s="4" t="s">
        <v>238</v>
      </c>
      <c r="C1710" s="4" t="s">
        <v>239</v>
      </c>
      <c r="D1710" s="4" t="s">
        <v>216</v>
      </c>
    </row>
    <row r="1711" customFormat="false" ht="16" hidden="false" customHeight="true" outlineLevel="0" collapsed="false">
      <c r="B1711" s="4" t="s">
        <v>240</v>
      </c>
      <c r="C1711" s="4" t="s">
        <v>241</v>
      </c>
      <c r="D1711" s="4" t="s">
        <v>194</v>
      </c>
      <c r="E1711" s="4" t="s">
        <v>194</v>
      </c>
    </row>
    <row r="1712" customFormat="false" ht="16" hidden="false" customHeight="true" outlineLevel="0" collapsed="false"/>
    <row r="1713" customFormat="false" ht="16" hidden="false" customHeight="true" outlineLevel="0" collapsed="false"/>
    <row r="1714" customFormat="false" ht="16" hidden="false" customHeight="true" outlineLevel="0" collapsed="false"/>
    <row r="1715" customFormat="false" ht="16" hidden="false" customHeight="true" outlineLevel="0" collapsed="false">
      <c r="A1715" s="4" t="s">
        <v>242</v>
      </c>
      <c r="B1715" s="4" t="s">
        <v>243</v>
      </c>
    </row>
    <row r="1716" customFormat="false" ht="16" hidden="false" customHeight="true" outlineLevel="0" collapsed="false">
      <c r="B1716" s="4" t="s">
        <v>244</v>
      </c>
    </row>
    <row r="1717" customFormat="false" ht="16" hidden="false" customHeight="true" outlineLevel="0" collapsed="false">
      <c r="A1717" s="3" t="n">
        <v>44.15625</v>
      </c>
      <c r="B1717" s="4" t="s">
        <v>245</v>
      </c>
    </row>
    <row r="1718" customFormat="false" ht="16" hidden="false" customHeight="true" outlineLevel="0" collapsed="false">
      <c r="B1718" s="4" t="s">
        <v>246</v>
      </c>
    </row>
    <row r="1719" customFormat="false" ht="16" hidden="false" customHeight="true" outlineLevel="0" collapsed="false">
      <c r="B1719" s="4" t="s">
        <v>247</v>
      </c>
    </row>
    <row r="1720" customFormat="false" ht="16" hidden="false" customHeight="true" outlineLevel="0" collapsed="false">
      <c r="B1720" s="4" t="s">
        <v>248</v>
      </c>
    </row>
    <row r="1721" customFormat="false" ht="16" hidden="false" customHeight="true" outlineLevel="0" collapsed="false">
      <c r="B1721" s="4" t="s">
        <v>224</v>
      </c>
    </row>
    <row r="1722" customFormat="false" ht="16" hidden="false" customHeight="true" outlineLevel="0" collapsed="false">
      <c r="B1722" s="4" t="s">
        <v>189</v>
      </c>
    </row>
    <row r="1723" customFormat="false" ht="16" hidden="false" customHeight="true" outlineLevel="0" collapsed="false"/>
    <row r="1724" customFormat="false" ht="16" hidden="false" customHeight="true" outlineLevel="0" collapsed="false">
      <c r="A1724" s="4" t="s">
        <v>249</v>
      </c>
      <c r="B1724" s="4" t="s">
        <v>250</v>
      </c>
    </row>
    <row r="1725" customFormat="false" ht="16" hidden="false" customHeight="true" outlineLevel="0" collapsed="false">
      <c r="B1725" s="4" t="s">
        <v>251</v>
      </c>
    </row>
    <row r="1726" customFormat="false" ht="16" hidden="false" customHeight="true" outlineLevel="0" collapsed="false">
      <c r="B1726" s="4" t="s">
        <v>252</v>
      </c>
    </row>
    <row r="1727" customFormat="false" ht="16" hidden="false" customHeight="true" outlineLevel="0" collapsed="false">
      <c r="B1727" s="4" t="s">
        <v>253</v>
      </c>
    </row>
    <row r="1728" customFormat="false" ht="16" hidden="false" customHeight="true" outlineLevel="0" collapsed="false">
      <c r="B1728" s="4" t="s">
        <v>224</v>
      </c>
    </row>
    <row r="1729" customFormat="false" ht="16" hidden="false" customHeight="true" outlineLevel="0" collapsed="false">
      <c r="B1729" s="4" t="s">
        <v>189</v>
      </c>
    </row>
    <row r="1730" customFormat="false" ht="16" hidden="false" customHeight="true" outlineLevel="0" collapsed="false"/>
    <row r="1731" customFormat="false" ht="16" hidden="false" customHeight="true" outlineLevel="0" collapsed="false"/>
    <row r="1732" customFormat="false" ht="16" hidden="false" customHeight="true" outlineLevel="0" collapsed="false">
      <c r="A1732" s="4" t="s">
        <v>254</v>
      </c>
      <c r="B1732" s="4" t="s">
        <v>58</v>
      </c>
      <c r="C1732" s="4" t="s">
        <v>59</v>
      </c>
      <c r="D1732" s="4" t="s">
        <v>255</v>
      </c>
      <c r="E1732" s="4" t="s">
        <v>213</v>
      </c>
    </row>
    <row r="1733" customFormat="false" ht="16" hidden="false" customHeight="true" outlineLevel="0" collapsed="false">
      <c r="B1733" s="4" t="s">
        <v>256</v>
      </c>
      <c r="C1733" s="4" t="s">
        <v>257</v>
      </c>
      <c r="D1733" s="4" t="s">
        <v>258</v>
      </c>
      <c r="E1733" s="4" t="s">
        <v>216</v>
      </c>
    </row>
    <row r="1734" customFormat="false" ht="16" hidden="false" customHeight="true" outlineLevel="0" collapsed="false">
      <c r="B1734" s="4" t="s">
        <v>259</v>
      </c>
      <c r="C1734" s="4" t="s">
        <v>260</v>
      </c>
      <c r="D1734" s="4" t="s">
        <v>261</v>
      </c>
      <c r="E1734" s="4" t="s">
        <v>194</v>
      </c>
      <c r="F1734" s="4" t="s">
        <v>194</v>
      </c>
    </row>
    <row r="1735" customFormat="false" ht="16" hidden="false" customHeight="true" outlineLevel="0" collapsed="false"/>
    <row r="1736" customFormat="false" ht="16" hidden="false" customHeight="true" outlineLevel="0" collapsed="false">
      <c r="A1736" s="4" t="s">
        <v>262</v>
      </c>
      <c r="B1736" s="2" t="s">
        <v>263</v>
      </c>
    </row>
    <row r="1737" customFormat="false" ht="16" hidden="false" customHeight="true" outlineLevel="0" collapsed="false">
      <c r="B1737" s="4" t="s">
        <v>190</v>
      </c>
    </row>
    <row r="1738" customFormat="false" ht="16" hidden="false" customHeight="true" outlineLevel="0" collapsed="false"/>
    <row r="1739" customFormat="false" ht="16" hidden="false" customHeight="true" outlineLevel="0" collapsed="false">
      <c r="A1739" s="4" t="s">
        <v>264</v>
      </c>
      <c r="B1739" s="4" t="s">
        <v>265</v>
      </c>
    </row>
    <row r="1740" customFormat="false" ht="16" hidden="false" customHeight="true" outlineLevel="0" collapsed="false">
      <c r="B1740" s="4" t="s">
        <v>190</v>
      </c>
    </row>
    <row r="1741" customFormat="false" ht="16" hidden="false" customHeight="true" outlineLevel="0" collapsed="false"/>
    <row r="1742" customFormat="false" ht="16" hidden="false" customHeight="true" outlineLevel="0" collapsed="false">
      <c r="A1742" s="4" t="s">
        <v>266</v>
      </c>
      <c r="B1742" s="4" t="s">
        <v>267</v>
      </c>
    </row>
    <row r="1743" customFormat="false" ht="16" hidden="false" customHeight="true" outlineLevel="0" collapsed="false">
      <c r="B1743" s="4" t="s">
        <v>190</v>
      </c>
    </row>
    <row r="1744" customFormat="false" ht="16" hidden="false" customHeight="true" outlineLevel="0" collapsed="false"/>
    <row r="1745" customFormat="false" ht="16" hidden="false" customHeight="true" outlineLevel="0" collapsed="false"/>
    <row r="1746" customFormat="false" ht="16" hidden="false" customHeight="true" outlineLevel="0" collapsed="false">
      <c r="A1746" s="4" t="s">
        <v>268</v>
      </c>
      <c r="B1746" s="4" t="s">
        <v>269</v>
      </c>
      <c r="C1746" s="4" t="s">
        <v>270</v>
      </c>
      <c r="D1746" s="4" t="s">
        <v>180</v>
      </c>
    </row>
    <row r="1747" customFormat="false" ht="16" hidden="false" customHeight="true" outlineLevel="0" collapsed="false">
      <c r="B1747" s="4" t="s">
        <v>271</v>
      </c>
      <c r="C1747" s="4" t="s">
        <v>272</v>
      </c>
      <c r="D1747" s="4" t="s">
        <v>216</v>
      </c>
    </row>
    <row r="1748" customFormat="false" ht="16" hidden="false" customHeight="true" outlineLevel="0" collapsed="false">
      <c r="B1748" s="4" t="s">
        <v>273</v>
      </c>
      <c r="C1748" s="4" t="s">
        <v>274</v>
      </c>
      <c r="D1748" s="4" t="s">
        <v>194</v>
      </c>
      <c r="E1748" s="4" t="s">
        <v>194</v>
      </c>
    </row>
    <row r="1749" customFormat="false" ht="16" hidden="false" customHeight="true" outlineLevel="0" collapsed="false"/>
    <row r="1750" customFormat="false" ht="16" hidden="false" customHeight="true" outlineLevel="0" collapsed="false"/>
    <row r="1751" customFormat="false" ht="16" hidden="false" customHeight="true" outlineLevel="0" collapsed="false"/>
    <row r="1752" customFormat="false" ht="16" hidden="false" customHeight="true" outlineLevel="0" collapsed="false"/>
    <row r="1753" customFormat="false" ht="16" hidden="false" customHeight="true" outlineLevel="0" collapsed="false">
      <c r="A1753" s="4" t="s">
        <v>275</v>
      </c>
      <c r="B1753" s="4" t="s">
        <v>276</v>
      </c>
    </row>
    <row r="1754" customFormat="false" ht="16" hidden="false" customHeight="true" outlineLevel="0" collapsed="false">
      <c r="B1754" s="4" t="s">
        <v>277</v>
      </c>
    </row>
    <row r="1755" customFormat="false" ht="16" hidden="false" customHeight="true" outlineLevel="0" collapsed="false">
      <c r="B1755" s="4" t="s">
        <v>278</v>
      </c>
    </row>
    <row r="1756" customFormat="false" ht="16" hidden="false" customHeight="true" outlineLevel="0" collapsed="false">
      <c r="B1756" s="4" t="s">
        <v>279</v>
      </c>
    </row>
    <row r="1757" customFormat="false" ht="16" hidden="false" customHeight="true" outlineLevel="0" collapsed="false">
      <c r="B1757" s="4" t="s">
        <v>280</v>
      </c>
    </row>
    <row r="1758" customFormat="false" ht="16" hidden="false" customHeight="true" outlineLevel="0" collapsed="false">
      <c r="B1758" s="4" t="s">
        <v>281</v>
      </c>
    </row>
    <row r="1759" customFormat="false" ht="16" hidden="false" customHeight="true" outlineLevel="0" collapsed="false">
      <c r="B1759" s="4" t="s">
        <v>282</v>
      </c>
    </row>
    <row r="1760" customFormat="false" ht="16" hidden="false" customHeight="true" outlineLevel="0" collapsed="false">
      <c r="B1760" s="4" t="s">
        <v>283</v>
      </c>
    </row>
    <row r="1761" customFormat="false" ht="16" hidden="false" customHeight="true" outlineLevel="0" collapsed="false">
      <c r="B1761" s="4" t="s">
        <v>284</v>
      </c>
    </row>
    <row r="1762" customFormat="false" ht="16" hidden="false" customHeight="true" outlineLevel="0" collapsed="false">
      <c r="B1762" s="4" t="s">
        <v>285</v>
      </c>
    </row>
    <row r="1763" customFormat="false" ht="16" hidden="false" customHeight="true" outlineLevel="0" collapsed="false">
      <c r="B1763" s="4" t="s">
        <v>286</v>
      </c>
    </row>
    <row r="1764" customFormat="false" ht="16" hidden="false" customHeight="true" outlineLevel="0" collapsed="false">
      <c r="B1764" s="4" t="s">
        <v>287</v>
      </c>
    </row>
    <row r="1765" customFormat="false" ht="16" hidden="false" customHeight="true" outlineLevel="0" collapsed="false"/>
    <row r="1766" customFormat="false" ht="16" hidden="false" customHeight="true" outlineLevel="0" collapsed="false"/>
    <row r="1767" customFormat="false" ht="16" hidden="false" customHeight="true" outlineLevel="0" collapsed="false">
      <c r="A1767" s="4" t="s">
        <v>288</v>
      </c>
      <c r="B1767" s="4" t="s">
        <v>289</v>
      </c>
    </row>
    <row r="1768" customFormat="false" ht="16" hidden="false" customHeight="true" outlineLevel="0" collapsed="false">
      <c r="B1768" s="4" t="s">
        <v>290</v>
      </c>
    </row>
    <row r="1769" customFormat="false" ht="16" hidden="false" customHeight="true" outlineLevel="0" collapsed="false"/>
    <row r="1770" customFormat="false" ht="16" hidden="false" customHeight="true" outlineLevel="0" collapsed="false">
      <c r="A1770" s="4" t="s">
        <v>291</v>
      </c>
      <c r="B1770" s="4"/>
    </row>
    <row r="1771" customFormat="false" ht="16" hidden="false" customHeight="true" outlineLevel="0" collapsed="false"/>
    <row r="1772" customFormat="false" ht="16" hidden="false" customHeight="true" outlineLevel="0" collapsed="false">
      <c r="A1772" s="4" t="s">
        <v>292</v>
      </c>
      <c r="B1772" s="4"/>
    </row>
    <row r="1773" customFormat="false" ht="16" hidden="false" customHeight="true" outlineLevel="0" collapsed="false"/>
    <row r="1774" customFormat="false" ht="16" hidden="false" customHeight="true" outlineLevel="0" collapsed="false"/>
    <row r="1775" customFormat="false" ht="16" hidden="false" customHeight="true" outlineLevel="0" collapsed="false">
      <c r="A1775" s="4" t="s">
        <v>293</v>
      </c>
      <c r="B1775" s="4" t="s">
        <v>294</v>
      </c>
    </row>
    <row r="1776" customFormat="false" ht="16" hidden="false" customHeight="true" outlineLevel="0" collapsed="false">
      <c r="B1776" s="4" t="s">
        <v>295</v>
      </c>
    </row>
    <row r="1777" customFormat="false" ht="16" hidden="false" customHeight="true" outlineLevel="0" collapsed="false">
      <c r="A1777" s="4" t="s">
        <v>296</v>
      </c>
      <c r="B1777" s="4" t="s">
        <v>297</v>
      </c>
    </row>
    <row r="1778" customFormat="false" ht="16" hidden="false" customHeight="true" outlineLevel="0" collapsed="false">
      <c r="B1778" s="4" t="s">
        <v>298</v>
      </c>
    </row>
    <row r="1779" customFormat="false" ht="16" hidden="false" customHeight="true" outlineLevel="0" collapsed="false">
      <c r="B1779" s="4" t="s">
        <v>299</v>
      </c>
    </row>
    <row r="1780" customFormat="false" ht="16" hidden="false" customHeight="true" outlineLevel="0" collapsed="false">
      <c r="B1780" s="4" t="s">
        <v>300</v>
      </c>
    </row>
    <row r="1781" customFormat="false" ht="16" hidden="false" customHeight="true" outlineLevel="0" collapsed="false">
      <c r="B1781" s="4" t="s">
        <v>301</v>
      </c>
    </row>
    <row r="1782" customFormat="false" ht="16" hidden="false" customHeight="true" outlineLevel="0" collapsed="false"/>
    <row r="1783" customFormat="false" ht="16" hidden="false" customHeight="true" outlineLevel="0" collapsed="false"/>
    <row r="1784" customFormat="false" ht="16" hidden="false" customHeight="true" outlineLevel="0" collapsed="false"/>
    <row r="1785" customFormat="false" ht="16" hidden="false" customHeight="true" outlineLevel="0" collapsed="false">
      <c r="A1785" s="4" t="s">
        <v>302</v>
      </c>
      <c r="B1785" s="3" t="n">
        <v>1</v>
      </c>
    </row>
    <row r="1786" customFormat="false" ht="16" hidden="false" customHeight="true" outlineLevel="0" collapsed="false">
      <c r="A1786" s="4" t="s">
        <v>303</v>
      </c>
      <c r="B1786" s="3" t="n">
        <v>6</v>
      </c>
    </row>
    <row r="1787" customFormat="false" ht="16" hidden="false" customHeight="true" outlineLevel="0" collapsed="false"/>
    <row r="1788" customFormat="false" ht="16" hidden="false" customHeight="true" outlineLevel="0" collapsed="false">
      <c r="A1788" s="4" t="s">
        <v>304</v>
      </c>
      <c r="B1788" s="4" t="s">
        <v>305</v>
      </c>
      <c r="C1788" s="4" t="s">
        <v>306</v>
      </c>
      <c r="D1788" s="4" t="s">
        <v>307</v>
      </c>
      <c r="E1788" s="4" t="s">
        <v>213</v>
      </c>
    </row>
    <row r="1789" customFormat="false" ht="16" hidden="false" customHeight="true" outlineLevel="0" collapsed="false">
      <c r="B1789" s="4" t="s">
        <v>308</v>
      </c>
      <c r="C1789" s="4" t="s">
        <v>309</v>
      </c>
      <c r="D1789" s="4" t="s">
        <v>310</v>
      </c>
      <c r="E1789" s="4" t="s">
        <v>216</v>
      </c>
    </row>
    <row r="1790" customFormat="false" ht="16" hidden="false" customHeight="true" outlineLevel="0" collapsed="false">
      <c r="B1790" s="4" t="s">
        <v>311</v>
      </c>
      <c r="C1790" s="4" t="s">
        <v>312</v>
      </c>
      <c r="D1790" s="4" t="s">
        <v>313</v>
      </c>
      <c r="E1790" s="4" t="s">
        <v>194</v>
      </c>
      <c r="F1790" s="4" t="s">
        <v>194</v>
      </c>
    </row>
    <row r="1791" customFormat="false" ht="16" hidden="false" customHeight="true" outlineLevel="0" collapsed="false"/>
    <row r="1792" customFormat="false" ht="16" hidden="false" customHeight="true" outlineLevel="0" collapsed="false"/>
    <row r="1793" customFormat="false" ht="16" hidden="false" customHeight="true" outlineLevel="0" collapsed="false"/>
    <row r="1794" customFormat="false" ht="16" hidden="false" customHeight="true" outlineLevel="0" collapsed="false"/>
    <row r="1795" customFormat="false" ht="16" hidden="false" customHeight="true" outlineLevel="0" collapsed="false"/>
    <row r="1796" customFormat="false" ht="16" hidden="false" customHeight="true" outlineLevel="0" collapsed="false"/>
    <row r="1797" customFormat="false" ht="16" hidden="false" customHeight="true" outlineLevel="0" collapsed="false"/>
    <row r="1798" customFormat="false" ht="16" hidden="false" customHeight="true" outlineLevel="0" collapsed="false"/>
    <row r="1799" customFormat="false" ht="16" hidden="false" customHeight="true" outlineLevel="0" collapsed="false"/>
    <row r="1800" customFormat="false" ht="16" hidden="false" customHeight="true" outlineLevel="0" collapsed="false"/>
    <row r="1801" customFormat="false" ht="16" hidden="false" customHeight="true" outlineLevel="0" collapsed="false"/>
    <row r="1802" customFormat="false" ht="16" hidden="false" customHeight="true" outlineLevel="0" collapsed="false"/>
    <row r="1803" customFormat="false" ht="16" hidden="false" customHeight="true" outlineLevel="0" collapsed="false"/>
    <row r="1804" customFormat="false" ht="16" hidden="false" customHeight="true" outlineLevel="0" collapsed="false"/>
    <row r="1805" customFormat="false" ht="16" hidden="false" customHeight="true" outlineLevel="0" collapsed="false"/>
    <row r="1806" customFormat="false" ht="16" hidden="false" customHeight="true" outlineLevel="0" collapsed="false"/>
    <row r="1807" customFormat="false" ht="16" hidden="false" customHeight="true" outlineLevel="0" collapsed="false"/>
    <row r="1808" customFormat="false" ht="16" hidden="false" customHeight="true" outlineLevel="0" collapsed="false"/>
    <row r="1809" customFormat="false" ht="16" hidden="false" customHeight="true" outlineLevel="0" collapsed="false"/>
    <row r="1810" customFormat="false" ht="16" hidden="false" customHeight="true" outlineLevel="0" collapsed="false"/>
    <row r="1811" customFormat="false" ht="16" hidden="false" customHeight="true" outlineLevel="0" collapsed="false"/>
    <row r="1812" customFormat="false" ht="16" hidden="false" customHeight="true" outlineLevel="0" collapsed="false"/>
    <row r="1813" customFormat="false" ht="16" hidden="false" customHeight="true" outlineLevel="0" collapsed="false"/>
    <row r="1814" customFormat="false" ht="16" hidden="false" customHeight="true" outlineLevel="0" collapsed="false"/>
    <row r="1815" customFormat="false" ht="16" hidden="false" customHeight="true" outlineLevel="0" collapsed="false"/>
    <row r="1816" customFormat="false" ht="16" hidden="false" customHeight="true" outlineLevel="0" collapsed="false"/>
    <row r="1817" customFormat="false" ht="16" hidden="false" customHeight="true" outlineLevel="0" collapsed="false"/>
    <row r="1818" customFormat="false" ht="16" hidden="false" customHeight="true" outlineLevel="0" collapsed="false"/>
    <row r="1819" customFormat="false" ht="16" hidden="false" customHeight="true" outlineLevel="0" collapsed="false"/>
    <row r="1820" customFormat="false" ht="16" hidden="false" customHeight="true" outlineLevel="0" collapsed="false"/>
    <row r="1821" customFormat="false" ht="16" hidden="false" customHeight="true" outlineLevel="0" collapsed="false"/>
    <row r="1822" customFormat="false" ht="16" hidden="false" customHeight="true" outlineLevel="0" collapsed="false"/>
    <row r="1823" customFormat="false" ht="16" hidden="false" customHeight="true" outlineLevel="0" collapsed="false"/>
    <row r="1824" customFormat="false" ht="16" hidden="false" customHeight="true" outlineLevel="0" collapsed="false"/>
    <row r="1825" customFormat="false" ht="16" hidden="false" customHeight="true" outlineLevel="0" collapsed="false"/>
    <row r="1826" customFormat="false" ht="16" hidden="false" customHeight="true" outlineLevel="0" collapsed="false"/>
    <row r="1827" customFormat="false" ht="16" hidden="false" customHeight="true" outlineLevel="0" collapsed="false"/>
    <row r="1828" customFormat="false" ht="16" hidden="false" customHeight="true" outlineLevel="0" collapsed="false"/>
    <row r="1829" customFormat="false" ht="16" hidden="false" customHeight="true" outlineLevel="0" collapsed="false"/>
    <row r="1830" customFormat="false" ht="16" hidden="false" customHeight="true" outlineLevel="0" collapsed="false"/>
    <row r="1831" customFormat="false" ht="16" hidden="false" customHeight="true" outlineLevel="0" collapsed="false"/>
    <row r="1832" customFormat="false" ht="16" hidden="false" customHeight="true" outlineLevel="0" collapsed="false"/>
    <row r="1833" customFormat="false" ht="16" hidden="false" customHeight="true" outlineLevel="0" collapsed="false"/>
    <row r="1834" customFormat="false" ht="16" hidden="false" customHeight="true" outlineLevel="0" collapsed="false"/>
    <row r="1835" customFormat="false" ht="16" hidden="false" customHeight="true" outlineLevel="0" collapsed="false"/>
    <row r="1836" customFormat="false" ht="16" hidden="false" customHeight="true" outlineLevel="0" collapsed="false"/>
    <row r="1837" customFormat="false" ht="16" hidden="false" customHeight="true" outlineLevel="0" collapsed="false"/>
    <row r="1838" customFormat="false" ht="16" hidden="false" customHeight="true" outlineLevel="0" collapsed="false"/>
    <row r="1839" customFormat="false" ht="16" hidden="false" customHeight="true" outlineLevel="0" collapsed="false"/>
    <row r="1840" customFormat="false" ht="16" hidden="false" customHeight="true" outlineLevel="0" collapsed="false"/>
    <row r="1841" customFormat="false" ht="16" hidden="false" customHeight="true" outlineLevel="0" collapsed="false"/>
    <row r="1842" customFormat="false" ht="16" hidden="false" customHeight="true" outlineLevel="0" collapsed="false"/>
    <row r="1843" customFormat="false" ht="16" hidden="false" customHeight="true" outlineLevel="0" collapsed="false"/>
    <row r="1844" customFormat="false" ht="16" hidden="false" customHeight="true" outlineLevel="0" collapsed="false"/>
    <row r="1845" customFormat="false" ht="16" hidden="false" customHeight="true" outlineLevel="0" collapsed="false"/>
    <row r="1846" customFormat="false" ht="16" hidden="false" customHeight="true" outlineLevel="0" collapsed="false"/>
    <row r="1847" customFormat="false" ht="16" hidden="false" customHeight="true" outlineLevel="0" collapsed="false"/>
    <row r="1848" customFormat="false" ht="16" hidden="false" customHeight="true" outlineLevel="0" collapsed="false"/>
    <row r="1849" customFormat="false" ht="16" hidden="false" customHeight="true" outlineLevel="0" collapsed="false"/>
    <row r="1850" customFormat="false" ht="16" hidden="false" customHeight="true" outlineLevel="0" collapsed="false"/>
    <row r="1851" customFormat="false" ht="16" hidden="false" customHeight="true" outlineLevel="0" collapsed="false"/>
    <row r="1852" customFormat="false" ht="16" hidden="false" customHeight="true" outlineLevel="0" collapsed="false"/>
    <row r="1853" customFormat="false" ht="16" hidden="false" customHeight="true" outlineLevel="0" collapsed="false"/>
    <row r="1854" customFormat="false" ht="16" hidden="false" customHeight="true" outlineLevel="0" collapsed="false"/>
    <row r="1855" customFormat="false" ht="16" hidden="false" customHeight="true" outlineLevel="0" collapsed="false"/>
    <row r="1856" customFormat="false" ht="16" hidden="false" customHeight="true" outlineLevel="0" collapsed="false"/>
    <row r="1857" customFormat="false" ht="16" hidden="false" customHeight="true" outlineLevel="0" collapsed="false"/>
    <row r="1858" customFormat="false" ht="16" hidden="false" customHeight="true" outlineLevel="0" collapsed="false"/>
    <row r="1859" customFormat="false" ht="16" hidden="false" customHeight="true" outlineLevel="0" collapsed="false"/>
    <row r="1860" customFormat="false" ht="16" hidden="false" customHeight="true" outlineLevel="0" collapsed="false"/>
    <row r="1861" customFormat="false" ht="16" hidden="false" customHeight="true" outlineLevel="0" collapsed="false"/>
    <row r="1862" customFormat="false" ht="16" hidden="false" customHeight="true" outlineLevel="0" collapsed="false"/>
    <row r="1863" customFormat="false" ht="16" hidden="false" customHeight="true" outlineLevel="0" collapsed="false"/>
    <row r="1864" customFormat="false" ht="16" hidden="false" customHeight="true" outlineLevel="0" collapsed="false"/>
    <row r="1865" customFormat="false" ht="16" hidden="false" customHeight="true" outlineLevel="0" collapsed="false"/>
    <row r="1866" customFormat="false" ht="16" hidden="false" customHeight="true" outlineLevel="0" collapsed="false"/>
    <row r="1867" customFormat="false" ht="16" hidden="false" customHeight="true" outlineLevel="0" collapsed="false"/>
    <row r="1868" customFormat="false" ht="16" hidden="false" customHeight="true" outlineLevel="0" collapsed="false"/>
    <row r="1869" customFormat="false" ht="16" hidden="false" customHeight="true" outlineLevel="0" collapsed="false"/>
    <row r="1870" customFormat="false" ht="16" hidden="false" customHeight="true" outlineLevel="0" collapsed="false"/>
    <row r="1871" customFormat="false" ht="16" hidden="false" customHeight="true" outlineLevel="0" collapsed="false"/>
    <row r="1872" customFormat="false" ht="16" hidden="false" customHeight="true" outlineLevel="0" collapsed="false"/>
    <row r="1873" customFormat="false" ht="16" hidden="false" customHeight="true" outlineLevel="0" collapsed="false"/>
    <row r="1874" customFormat="false" ht="16" hidden="false" customHeight="true" outlineLevel="0" collapsed="false"/>
    <row r="1875" customFormat="false" ht="16" hidden="false" customHeight="true" outlineLevel="0" collapsed="false"/>
    <row r="1876" customFormat="false" ht="16" hidden="false" customHeight="true" outlineLevel="0" collapsed="false"/>
    <row r="1877" customFormat="false" ht="16" hidden="false" customHeight="true" outlineLevel="0" collapsed="false"/>
    <row r="1878" customFormat="false" ht="16" hidden="false" customHeight="true" outlineLevel="0" collapsed="false"/>
    <row r="1879" customFormat="false" ht="16" hidden="false" customHeight="true" outlineLevel="0" collapsed="false"/>
    <row r="1880" customFormat="false" ht="16" hidden="false" customHeight="true" outlineLevel="0" collapsed="false"/>
    <row r="1881" customFormat="false" ht="16" hidden="false" customHeight="true" outlineLevel="0" collapsed="false"/>
    <row r="1882" customFormat="false" ht="16" hidden="false" customHeight="true" outlineLevel="0" collapsed="false"/>
    <row r="1883" customFormat="false" ht="16" hidden="false" customHeight="true" outlineLevel="0" collapsed="false"/>
    <row r="1884" customFormat="false" ht="16" hidden="false" customHeight="true" outlineLevel="0" collapsed="false"/>
    <row r="1885" customFormat="false" ht="16" hidden="false" customHeight="true" outlineLevel="0" collapsed="false"/>
    <row r="1886" customFormat="false" ht="16" hidden="false" customHeight="true" outlineLevel="0" collapsed="false"/>
    <row r="1887" customFormat="false" ht="16" hidden="false" customHeight="true" outlineLevel="0" collapsed="false"/>
    <row r="1888" customFormat="false" ht="16" hidden="false" customHeight="true" outlineLevel="0" collapsed="false"/>
    <row r="1889" customFormat="false" ht="16" hidden="false" customHeight="true" outlineLevel="0" collapsed="false"/>
    <row r="1890" customFormat="false" ht="16" hidden="false" customHeight="true" outlineLevel="0" collapsed="false"/>
    <row r="1891" customFormat="false" ht="16" hidden="false" customHeight="true" outlineLevel="0" collapsed="false"/>
    <row r="1892" customFormat="false" ht="16" hidden="false" customHeight="true" outlineLevel="0" collapsed="false"/>
    <row r="1893" customFormat="false" ht="16" hidden="false" customHeight="true" outlineLevel="0" collapsed="false"/>
    <row r="1894" customFormat="false" ht="16" hidden="false" customHeight="true" outlineLevel="0" collapsed="false"/>
    <row r="1895" customFormat="false" ht="16" hidden="false" customHeight="true" outlineLevel="0" collapsed="false"/>
    <row r="1896" customFormat="false" ht="16" hidden="false" customHeight="true" outlineLevel="0" collapsed="false"/>
    <row r="1897" customFormat="false" ht="16" hidden="false" customHeight="true" outlineLevel="0" collapsed="false"/>
    <row r="1898" customFormat="false" ht="16" hidden="false" customHeight="true" outlineLevel="0" collapsed="false"/>
    <row r="1899" customFormat="false" ht="16" hidden="false" customHeight="true" outlineLevel="0" collapsed="false"/>
    <row r="1900" customFormat="false" ht="16" hidden="false" customHeight="true" outlineLevel="0" collapsed="false"/>
    <row r="1901" customFormat="false" ht="16" hidden="false" customHeight="true" outlineLevel="0" collapsed="false"/>
    <row r="1902" customFormat="false" ht="16" hidden="false" customHeight="true" outlineLevel="0" collapsed="false"/>
    <row r="1903" customFormat="false" ht="16" hidden="false" customHeight="true" outlineLevel="0" collapsed="false"/>
    <row r="1904" customFormat="false" ht="16" hidden="false" customHeight="true" outlineLevel="0" collapsed="false"/>
    <row r="1905" customFormat="false" ht="16" hidden="false" customHeight="true" outlineLevel="0" collapsed="false"/>
    <row r="1906" customFormat="false" ht="16" hidden="false" customHeight="true" outlineLevel="0" collapsed="false"/>
    <row r="1907" customFormat="false" ht="16" hidden="false" customHeight="true" outlineLevel="0" collapsed="false"/>
    <row r="1908" customFormat="false" ht="16" hidden="false" customHeight="true" outlineLevel="0" collapsed="false"/>
    <row r="1909" customFormat="false" ht="16" hidden="false" customHeight="true" outlineLevel="0" collapsed="false"/>
    <row r="1910" customFormat="false" ht="16" hidden="false" customHeight="true" outlineLevel="0" collapsed="false"/>
    <row r="1911" customFormat="false" ht="16" hidden="false" customHeight="true" outlineLevel="0" collapsed="false"/>
    <row r="1912" customFormat="false" ht="16" hidden="false" customHeight="true" outlineLevel="0" collapsed="false"/>
    <row r="1913" customFormat="false" ht="16" hidden="false" customHeight="true" outlineLevel="0" collapsed="false"/>
    <row r="1914" customFormat="false" ht="16" hidden="false" customHeight="true" outlineLevel="0" collapsed="false"/>
    <row r="1915" customFormat="false" ht="16" hidden="false" customHeight="true" outlineLevel="0" collapsed="false"/>
    <row r="1916" customFormat="false" ht="16" hidden="false" customHeight="true" outlineLevel="0" collapsed="false"/>
    <row r="1917" customFormat="false" ht="16" hidden="false" customHeight="true" outlineLevel="0" collapsed="false"/>
    <row r="1918" customFormat="false" ht="16" hidden="false" customHeight="true" outlineLevel="0" collapsed="false"/>
    <row r="1919" customFormat="false" ht="16" hidden="false" customHeight="true" outlineLevel="0" collapsed="false"/>
    <row r="1920" customFormat="false" ht="16" hidden="false" customHeight="true" outlineLevel="0" collapsed="false"/>
    <row r="1921" customFormat="false" ht="16" hidden="false" customHeight="true" outlineLevel="0" collapsed="false"/>
    <row r="1922" customFormat="false" ht="16" hidden="false" customHeight="true" outlineLevel="0" collapsed="false"/>
    <row r="1923" customFormat="false" ht="16" hidden="false" customHeight="true" outlineLevel="0" collapsed="false"/>
    <row r="1924" customFormat="false" ht="16" hidden="false" customHeight="true" outlineLevel="0" collapsed="false"/>
    <row r="1925" customFormat="false" ht="16" hidden="false" customHeight="true" outlineLevel="0" collapsed="false"/>
    <row r="1926" customFormat="false" ht="16" hidden="false" customHeight="true" outlineLevel="0" collapsed="false"/>
    <row r="1927" customFormat="false" ht="16" hidden="false" customHeight="true" outlineLevel="0" collapsed="false"/>
    <row r="1928" customFormat="false" ht="16" hidden="false" customHeight="true" outlineLevel="0" collapsed="false"/>
    <row r="1929" customFormat="false" ht="16" hidden="false" customHeight="true" outlineLevel="0" collapsed="false"/>
    <row r="1930" customFormat="false" ht="16" hidden="false" customHeight="true" outlineLevel="0" collapsed="false"/>
    <row r="1931" customFormat="false" ht="16" hidden="false" customHeight="true" outlineLevel="0" collapsed="false"/>
    <row r="1932" customFormat="false" ht="16" hidden="false" customHeight="true" outlineLevel="0" collapsed="false"/>
    <row r="1933" customFormat="false" ht="16" hidden="false" customHeight="true" outlineLevel="0" collapsed="false"/>
    <row r="1934" customFormat="false" ht="16" hidden="false" customHeight="true" outlineLevel="0" collapsed="false"/>
    <row r="1935" customFormat="false" ht="16" hidden="false" customHeight="true" outlineLevel="0" collapsed="false"/>
    <row r="1936" customFormat="false" ht="16" hidden="false" customHeight="true" outlineLevel="0" collapsed="false"/>
    <row r="1937" customFormat="false" ht="16" hidden="false" customHeight="true" outlineLevel="0" collapsed="false"/>
    <row r="1938" customFormat="false" ht="16" hidden="false" customHeight="true" outlineLevel="0" collapsed="false"/>
    <row r="1939" customFormat="false" ht="16" hidden="false" customHeight="true" outlineLevel="0" collapsed="false"/>
    <row r="1940" customFormat="false" ht="16" hidden="false" customHeight="true" outlineLevel="0" collapsed="false"/>
    <row r="1941" customFormat="false" ht="16" hidden="false" customHeight="true" outlineLevel="0" collapsed="false"/>
    <row r="1942" customFormat="false" ht="16" hidden="false" customHeight="true" outlineLevel="0" collapsed="false"/>
    <row r="1943" customFormat="false" ht="16" hidden="false" customHeight="true" outlineLevel="0" collapsed="false"/>
    <row r="1944" customFormat="false" ht="16" hidden="false" customHeight="true" outlineLevel="0" collapsed="false"/>
    <row r="1945" customFormat="false" ht="16" hidden="false" customHeight="true" outlineLevel="0" collapsed="false"/>
    <row r="1946" customFormat="false" ht="16" hidden="false" customHeight="true" outlineLevel="0" collapsed="false"/>
    <row r="1947" customFormat="false" ht="16" hidden="false" customHeight="true" outlineLevel="0" collapsed="false"/>
    <row r="1948" customFormat="false" ht="16" hidden="false" customHeight="true" outlineLevel="0" collapsed="false"/>
    <row r="1949" customFormat="false" ht="16" hidden="false" customHeight="true" outlineLevel="0" collapsed="false"/>
    <row r="1950" customFormat="false" ht="16" hidden="false" customHeight="true" outlineLevel="0" collapsed="false"/>
    <row r="1951" customFormat="false" ht="16" hidden="false" customHeight="true" outlineLevel="0" collapsed="false"/>
    <row r="1952" customFormat="false" ht="16" hidden="false" customHeight="true" outlineLevel="0" collapsed="false"/>
    <row r="1953" customFormat="false" ht="16" hidden="false" customHeight="true" outlineLevel="0" collapsed="false"/>
    <row r="1954" customFormat="false" ht="16" hidden="false" customHeight="true" outlineLevel="0" collapsed="false"/>
    <row r="1955" customFormat="false" ht="16" hidden="false" customHeight="true" outlineLevel="0" collapsed="false"/>
    <row r="1956" customFormat="false" ht="16" hidden="false" customHeight="true" outlineLevel="0" collapsed="false"/>
    <row r="1957" customFormat="false" ht="16" hidden="false" customHeight="true" outlineLevel="0" collapsed="false"/>
    <row r="1958" customFormat="false" ht="16" hidden="false" customHeight="true" outlineLevel="0" collapsed="false"/>
    <row r="1959" customFormat="false" ht="16" hidden="false" customHeight="true" outlineLevel="0" collapsed="false"/>
    <row r="1960" customFormat="false" ht="16" hidden="false" customHeight="true" outlineLevel="0" collapsed="false"/>
    <row r="1961" customFormat="false" ht="16" hidden="false" customHeight="true" outlineLevel="0" collapsed="false"/>
    <row r="1962" customFormat="false" ht="16" hidden="false" customHeight="true" outlineLevel="0" collapsed="false"/>
    <row r="1963" customFormat="false" ht="16" hidden="false" customHeight="true" outlineLevel="0" collapsed="false"/>
    <row r="1964" customFormat="false" ht="16" hidden="false" customHeight="true" outlineLevel="0" collapsed="false"/>
    <row r="1965" customFormat="false" ht="16" hidden="false" customHeight="true" outlineLevel="0" collapsed="false"/>
    <row r="1966" customFormat="false" ht="16" hidden="false" customHeight="true" outlineLevel="0" collapsed="false"/>
    <row r="1967" customFormat="false" ht="16" hidden="false" customHeight="true" outlineLevel="0" collapsed="false"/>
    <row r="1968" customFormat="false" ht="16" hidden="false" customHeight="true" outlineLevel="0" collapsed="false"/>
    <row r="1969" customFormat="false" ht="16" hidden="false" customHeight="true" outlineLevel="0" collapsed="false"/>
    <row r="1970" customFormat="false" ht="16" hidden="false" customHeight="true" outlineLevel="0" collapsed="false"/>
    <row r="1971" customFormat="false" ht="16" hidden="false" customHeight="true" outlineLevel="0" collapsed="false"/>
    <row r="1972" customFormat="false" ht="16" hidden="false" customHeight="true" outlineLevel="0" collapsed="false"/>
    <row r="1973" customFormat="false" ht="16" hidden="false" customHeight="true" outlineLevel="0" collapsed="false"/>
    <row r="1974" customFormat="false" ht="16" hidden="false" customHeight="true" outlineLevel="0" collapsed="false"/>
    <row r="1975" customFormat="false" ht="16" hidden="false" customHeight="true" outlineLevel="0" collapsed="false"/>
    <row r="1976" customFormat="false" ht="16" hidden="false" customHeight="true" outlineLevel="0" collapsed="false"/>
    <row r="1977" customFormat="false" ht="16" hidden="false" customHeight="true" outlineLevel="0" collapsed="false"/>
    <row r="1978" customFormat="false" ht="16" hidden="false" customHeight="true" outlineLevel="0" collapsed="false"/>
    <row r="1979" customFormat="false" ht="16" hidden="false" customHeight="true" outlineLevel="0" collapsed="false"/>
    <row r="1980" customFormat="false" ht="16" hidden="false" customHeight="true" outlineLevel="0" collapsed="false"/>
    <row r="1981" customFormat="false" ht="16" hidden="false" customHeight="true" outlineLevel="0" collapsed="false"/>
    <row r="1982" customFormat="false" ht="16" hidden="false" customHeight="true" outlineLevel="0" collapsed="false"/>
    <row r="1983" customFormat="false" ht="16" hidden="false" customHeight="true" outlineLevel="0" collapsed="false"/>
    <row r="1984" customFormat="false" ht="16" hidden="false" customHeight="true" outlineLevel="0" collapsed="false"/>
    <row r="1985" customFormat="false" ht="16" hidden="false" customHeight="true" outlineLevel="0" collapsed="false"/>
    <row r="1986" customFormat="false" ht="16" hidden="false" customHeight="true" outlineLevel="0" collapsed="false"/>
    <row r="1987" customFormat="false" ht="16" hidden="false" customHeight="true" outlineLevel="0" collapsed="false"/>
    <row r="1988" customFormat="false" ht="16" hidden="false" customHeight="true" outlineLevel="0" collapsed="false"/>
    <row r="1989" customFormat="false" ht="16" hidden="false" customHeight="true" outlineLevel="0" collapsed="false"/>
    <row r="1990" customFormat="false" ht="16" hidden="false" customHeight="true" outlineLevel="0" collapsed="false"/>
    <row r="1991" customFormat="false" ht="16" hidden="false" customHeight="true" outlineLevel="0" collapsed="false"/>
    <row r="1992" customFormat="false" ht="16" hidden="false" customHeight="true" outlineLevel="0" collapsed="false"/>
    <row r="1993" customFormat="false" ht="16" hidden="false" customHeight="true" outlineLevel="0" collapsed="false"/>
    <row r="1994" customFormat="false" ht="16" hidden="false" customHeight="true" outlineLevel="0" collapsed="false"/>
    <row r="1995" customFormat="false" ht="16" hidden="false" customHeight="true" outlineLevel="0" collapsed="false"/>
    <row r="1996" customFormat="false" ht="16" hidden="false" customHeight="true" outlineLevel="0" collapsed="false"/>
    <row r="1997" customFormat="false" ht="16" hidden="false" customHeight="true" outlineLevel="0" collapsed="false"/>
    <row r="1998" customFormat="false" ht="16" hidden="false" customHeight="true" outlineLevel="0" collapsed="false"/>
    <row r="1999" customFormat="false" ht="16" hidden="false" customHeight="true" outlineLevel="0" collapsed="false"/>
    <row r="2000" customFormat="false" ht="16" hidden="false" customHeight="true" outlineLevel="0" collapsed="false"/>
    <row r="2001" customFormat="false" ht="16" hidden="false" customHeight="true" outlineLevel="0" collapsed="false"/>
    <row r="2002" customFormat="false" ht="16" hidden="false" customHeight="true" outlineLevel="0" collapsed="false"/>
    <row r="2003" customFormat="false" ht="16" hidden="false" customHeight="true" outlineLevel="0" collapsed="false"/>
    <row r="2004" customFormat="false" ht="16" hidden="false" customHeight="true" outlineLevel="0" collapsed="false"/>
    <row r="2005" customFormat="false" ht="16" hidden="false" customHeight="true" outlineLevel="0" collapsed="false"/>
    <row r="2006" customFormat="false" ht="16" hidden="false" customHeight="true" outlineLevel="0" collapsed="false"/>
    <row r="2007" customFormat="false" ht="16" hidden="false" customHeight="true" outlineLevel="0" collapsed="false"/>
    <row r="2008" customFormat="false" ht="16" hidden="false" customHeight="true" outlineLevel="0" collapsed="false"/>
    <row r="2009" customFormat="false" ht="16" hidden="false" customHeight="true" outlineLevel="0" collapsed="false"/>
    <row r="2010" customFormat="false" ht="16" hidden="false" customHeight="true" outlineLevel="0" collapsed="false"/>
    <row r="2011" customFormat="false" ht="16" hidden="false" customHeight="true" outlineLevel="0" collapsed="false"/>
    <row r="2012" customFormat="false" ht="16" hidden="false" customHeight="true" outlineLevel="0" collapsed="false"/>
    <row r="2013" customFormat="false" ht="16" hidden="false" customHeight="true" outlineLevel="0" collapsed="false"/>
    <row r="2014" customFormat="false" ht="16" hidden="false" customHeight="true" outlineLevel="0" collapsed="false"/>
    <row r="2015" customFormat="false" ht="16" hidden="false" customHeight="true" outlineLevel="0" collapsed="false"/>
    <row r="2016" customFormat="false" ht="16" hidden="false" customHeight="true" outlineLevel="0" collapsed="false"/>
    <row r="2017" customFormat="false" ht="16" hidden="false" customHeight="true" outlineLevel="0" collapsed="false"/>
    <row r="2018" customFormat="false" ht="16" hidden="false" customHeight="true" outlineLevel="0" collapsed="false"/>
    <row r="2019" customFormat="false" ht="16" hidden="false" customHeight="true" outlineLevel="0" collapsed="false"/>
    <row r="2020" customFormat="false" ht="16" hidden="false" customHeight="true" outlineLevel="0" collapsed="false"/>
    <row r="2021" customFormat="false" ht="16" hidden="false" customHeight="true" outlineLevel="0" collapsed="false"/>
    <row r="2022" customFormat="false" ht="16" hidden="false" customHeight="true" outlineLevel="0" collapsed="false"/>
    <row r="2023" customFormat="false" ht="16" hidden="false" customHeight="true" outlineLevel="0" collapsed="false"/>
    <row r="2024" customFormat="false" ht="16" hidden="false" customHeight="true" outlineLevel="0" collapsed="false"/>
    <row r="2025" customFormat="false" ht="16" hidden="false" customHeight="true" outlineLevel="0" collapsed="false"/>
    <row r="2026" customFormat="false" ht="16" hidden="false" customHeight="true" outlineLevel="0" collapsed="false"/>
    <row r="2027" customFormat="false" ht="16" hidden="false" customHeight="true" outlineLevel="0" collapsed="false"/>
    <row r="2028" customFormat="false" ht="16" hidden="false" customHeight="true" outlineLevel="0" collapsed="false"/>
    <row r="2029" customFormat="false" ht="16" hidden="false" customHeight="true" outlineLevel="0" collapsed="false"/>
    <row r="2030" customFormat="false" ht="16" hidden="false" customHeight="true" outlineLevel="0" collapsed="false"/>
    <row r="2031" customFormat="false" ht="16" hidden="false" customHeight="true" outlineLevel="0" collapsed="false"/>
    <row r="2032" customFormat="false" ht="16" hidden="false" customHeight="true" outlineLevel="0" collapsed="false"/>
    <row r="2033" customFormat="false" ht="16" hidden="false" customHeight="true" outlineLevel="0" collapsed="false"/>
    <row r="2034" customFormat="false" ht="16" hidden="false" customHeight="true" outlineLevel="0" collapsed="false"/>
    <row r="2035" customFormat="false" ht="16" hidden="false" customHeight="true" outlineLevel="0" collapsed="false"/>
    <row r="2036" customFormat="false" ht="16" hidden="false" customHeight="true" outlineLevel="0" collapsed="false"/>
    <row r="2037" customFormat="false" ht="16" hidden="false" customHeight="true" outlineLevel="0" collapsed="false"/>
    <row r="2038" customFormat="false" ht="16" hidden="false" customHeight="true" outlineLevel="0" collapsed="false"/>
    <row r="2039" customFormat="false" ht="16" hidden="false" customHeight="true" outlineLevel="0" collapsed="false"/>
    <row r="2040" customFormat="false" ht="16" hidden="false" customHeight="true" outlineLevel="0" collapsed="false"/>
    <row r="2041" customFormat="false" ht="16" hidden="false" customHeight="true" outlineLevel="0" collapsed="false"/>
    <row r="2042" customFormat="false" ht="16" hidden="false" customHeight="true" outlineLevel="0" collapsed="false"/>
    <row r="2043" customFormat="false" ht="16" hidden="false" customHeight="true" outlineLevel="0" collapsed="false"/>
    <row r="2044" customFormat="false" ht="16" hidden="false" customHeight="true" outlineLevel="0" collapsed="false"/>
    <row r="2045" customFormat="false" ht="16" hidden="false" customHeight="true" outlineLevel="0" collapsed="false"/>
    <row r="2046" customFormat="false" ht="16" hidden="false" customHeight="true" outlineLevel="0" collapsed="false"/>
    <row r="2047" customFormat="false" ht="16" hidden="false" customHeight="true" outlineLevel="0" collapsed="false"/>
    <row r="2048" customFormat="false" ht="16" hidden="false" customHeight="true" outlineLevel="0" collapsed="false"/>
    <row r="2049" customFormat="false" ht="16" hidden="false" customHeight="true" outlineLevel="0" collapsed="false"/>
    <row r="2050" customFormat="false" ht="16" hidden="false" customHeight="true" outlineLevel="0" collapsed="false"/>
    <row r="2051" customFormat="false" ht="16" hidden="false" customHeight="true" outlineLevel="0" collapsed="false"/>
    <row r="2052" customFormat="false" ht="16" hidden="false" customHeight="true" outlineLevel="0" collapsed="false"/>
    <row r="2053" customFormat="false" ht="16" hidden="false" customHeight="true" outlineLevel="0" collapsed="false"/>
    <row r="2054" customFormat="false" ht="16" hidden="false" customHeight="true" outlineLevel="0" collapsed="false"/>
    <row r="2055" customFormat="false" ht="16" hidden="false" customHeight="true" outlineLevel="0" collapsed="false"/>
    <row r="2056" customFormat="false" ht="16" hidden="false" customHeight="true" outlineLevel="0" collapsed="false"/>
    <row r="2057" customFormat="false" ht="16" hidden="false" customHeight="true" outlineLevel="0" collapsed="false"/>
    <row r="2058" customFormat="false" ht="16" hidden="false" customHeight="true" outlineLevel="0" collapsed="false"/>
    <row r="2059" customFormat="false" ht="16" hidden="false" customHeight="true" outlineLevel="0" collapsed="false"/>
    <row r="2060" customFormat="false" ht="16" hidden="false" customHeight="true" outlineLevel="0" collapsed="false"/>
    <row r="2061" customFormat="false" ht="16" hidden="false" customHeight="true" outlineLevel="0" collapsed="false"/>
    <row r="2062" customFormat="false" ht="16" hidden="false" customHeight="true" outlineLevel="0" collapsed="false"/>
    <row r="2063" customFormat="false" ht="16" hidden="false" customHeight="true" outlineLevel="0" collapsed="false"/>
    <row r="2064" customFormat="false" ht="16" hidden="false" customHeight="true" outlineLevel="0" collapsed="false"/>
    <row r="2065" customFormat="false" ht="16" hidden="false" customHeight="true" outlineLevel="0" collapsed="false"/>
    <row r="2066" customFormat="false" ht="16" hidden="false" customHeight="true" outlineLevel="0" collapsed="false"/>
    <row r="2067" customFormat="false" ht="16" hidden="false" customHeight="true" outlineLevel="0" collapsed="false"/>
    <row r="2068" customFormat="false" ht="16" hidden="false" customHeight="true" outlineLevel="0" collapsed="false"/>
    <row r="2069" customFormat="false" ht="16" hidden="false" customHeight="true" outlineLevel="0" collapsed="false"/>
    <row r="2070" customFormat="false" ht="16" hidden="false" customHeight="true" outlineLevel="0" collapsed="false"/>
    <row r="2071" customFormat="false" ht="16" hidden="false" customHeight="true" outlineLevel="0" collapsed="false"/>
    <row r="2072" customFormat="false" ht="16" hidden="false" customHeight="true" outlineLevel="0" collapsed="false"/>
    <row r="2073" customFormat="false" ht="16" hidden="false" customHeight="true" outlineLevel="0" collapsed="false"/>
    <row r="2074" customFormat="false" ht="16" hidden="false" customHeight="true" outlineLevel="0" collapsed="false"/>
    <row r="2075" customFormat="false" ht="16" hidden="false" customHeight="true" outlineLevel="0" collapsed="false"/>
    <row r="2076" customFormat="false" ht="16" hidden="false" customHeight="true" outlineLevel="0" collapsed="false"/>
    <row r="2077" customFormat="false" ht="16" hidden="false" customHeight="true" outlineLevel="0" collapsed="false"/>
    <row r="2078" customFormat="false" ht="16" hidden="false" customHeight="true" outlineLevel="0" collapsed="false"/>
    <row r="2079" customFormat="false" ht="16" hidden="false" customHeight="true" outlineLevel="0" collapsed="false"/>
    <row r="2080" customFormat="false" ht="16" hidden="false" customHeight="true" outlineLevel="0" collapsed="false"/>
    <row r="2081" customFormat="false" ht="16" hidden="false" customHeight="true" outlineLevel="0" collapsed="false"/>
    <row r="2082" customFormat="false" ht="16" hidden="false" customHeight="true" outlineLevel="0" collapsed="false"/>
    <row r="2083" customFormat="false" ht="16" hidden="false" customHeight="true" outlineLevel="0" collapsed="false"/>
    <row r="2084" customFormat="false" ht="16" hidden="false" customHeight="true" outlineLevel="0" collapsed="false"/>
    <row r="2085" customFormat="false" ht="16" hidden="false" customHeight="true" outlineLevel="0" collapsed="false"/>
    <row r="2086" customFormat="false" ht="16" hidden="false" customHeight="true" outlineLevel="0" collapsed="false"/>
    <row r="2087" customFormat="false" ht="16" hidden="false" customHeight="true" outlineLevel="0" collapsed="false"/>
    <row r="2088" customFormat="false" ht="16" hidden="false" customHeight="true" outlineLevel="0" collapsed="false"/>
    <row r="2089" customFormat="false" ht="16" hidden="false" customHeight="true" outlineLevel="0" collapsed="false"/>
    <row r="2090" customFormat="false" ht="16" hidden="false" customHeight="true" outlineLevel="0" collapsed="false"/>
    <row r="2091" customFormat="false" ht="16" hidden="false" customHeight="true" outlineLevel="0" collapsed="false"/>
    <row r="2092" customFormat="false" ht="16" hidden="false" customHeight="true" outlineLevel="0" collapsed="false"/>
    <row r="2093" customFormat="false" ht="16" hidden="false" customHeight="true" outlineLevel="0" collapsed="false"/>
    <row r="2094" customFormat="false" ht="16" hidden="false" customHeight="true" outlineLevel="0" collapsed="false"/>
    <row r="2095" customFormat="false" ht="16" hidden="false" customHeight="true" outlineLevel="0" collapsed="false"/>
    <row r="2096" customFormat="false" ht="16" hidden="false" customHeight="true" outlineLevel="0" collapsed="false"/>
    <row r="2097" customFormat="false" ht="16" hidden="false" customHeight="true" outlineLevel="0" collapsed="false"/>
    <row r="2098" customFormat="false" ht="16" hidden="false" customHeight="true" outlineLevel="0" collapsed="false"/>
    <row r="2099" customFormat="false" ht="16" hidden="false" customHeight="true" outlineLevel="0" collapsed="false"/>
    <row r="2100" customFormat="false" ht="16" hidden="false" customHeight="true" outlineLevel="0" collapsed="false"/>
    <row r="2101" customFormat="false" ht="16" hidden="false" customHeight="true" outlineLevel="0" collapsed="false"/>
    <row r="2102" customFormat="false" ht="16" hidden="false" customHeight="true" outlineLevel="0" collapsed="false"/>
    <row r="2103" customFormat="false" ht="16" hidden="false" customHeight="true" outlineLevel="0" collapsed="false"/>
    <row r="2104" customFormat="false" ht="16" hidden="false" customHeight="true" outlineLevel="0" collapsed="false"/>
    <row r="2105" customFormat="false" ht="16" hidden="false" customHeight="true" outlineLevel="0" collapsed="false"/>
    <row r="2106" customFormat="false" ht="16" hidden="false" customHeight="true" outlineLevel="0" collapsed="false"/>
    <row r="2107" customFormat="false" ht="16" hidden="false" customHeight="true" outlineLevel="0" collapsed="false"/>
    <row r="2108" customFormat="false" ht="16" hidden="false" customHeight="true" outlineLevel="0" collapsed="false"/>
    <row r="2109" customFormat="false" ht="16" hidden="false" customHeight="true" outlineLevel="0" collapsed="false"/>
    <row r="2110" customFormat="false" ht="16" hidden="false" customHeight="true" outlineLevel="0" collapsed="false"/>
    <row r="2111" customFormat="false" ht="16" hidden="false" customHeight="true" outlineLevel="0" collapsed="false"/>
    <row r="2112" customFormat="false" ht="16" hidden="false" customHeight="true" outlineLevel="0" collapsed="false"/>
    <row r="2113" customFormat="false" ht="16" hidden="false" customHeight="true" outlineLevel="0" collapsed="false"/>
    <row r="2114" customFormat="false" ht="16" hidden="false" customHeight="true" outlineLevel="0" collapsed="false"/>
    <row r="2115" customFormat="false" ht="16" hidden="false" customHeight="true" outlineLevel="0" collapsed="false"/>
    <row r="2116" customFormat="false" ht="16" hidden="false" customHeight="true" outlineLevel="0" collapsed="false"/>
    <row r="2117" customFormat="false" ht="16" hidden="false" customHeight="true" outlineLevel="0" collapsed="false"/>
    <row r="2118" customFormat="false" ht="16" hidden="false" customHeight="true" outlineLevel="0" collapsed="false"/>
    <row r="2119" customFormat="false" ht="16" hidden="false" customHeight="true" outlineLevel="0" collapsed="false"/>
    <row r="2120" customFormat="false" ht="16" hidden="false" customHeight="true" outlineLevel="0" collapsed="false"/>
    <row r="2121" customFormat="false" ht="16" hidden="false" customHeight="true" outlineLevel="0" collapsed="false"/>
    <row r="2122" customFormat="false" ht="16" hidden="false" customHeight="true" outlineLevel="0" collapsed="false"/>
    <row r="2123" customFormat="false" ht="16" hidden="false" customHeight="true" outlineLevel="0" collapsed="false"/>
    <row r="2124" customFormat="false" ht="16" hidden="false" customHeight="true" outlineLevel="0" collapsed="false"/>
    <row r="2125" customFormat="false" ht="16" hidden="false" customHeight="true" outlineLevel="0" collapsed="false"/>
    <row r="2126" customFormat="false" ht="16" hidden="false" customHeight="true" outlineLevel="0" collapsed="false"/>
    <row r="2127" customFormat="false" ht="16" hidden="false" customHeight="true" outlineLevel="0" collapsed="false"/>
    <row r="2128" customFormat="false" ht="16" hidden="false" customHeight="true" outlineLevel="0" collapsed="false"/>
    <row r="2129" customFormat="false" ht="16" hidden="false" customHeight="true" outlineLevel="0" collapsed="false"/>
    <row r="2130" customFormat="false" ht="16" hidden="false" customHeight="true" outlineLevel="0" collapsed="false"/>
    <row r="2131" customFormat="false" ht="16" hidden="false" customHeight="true" outlineLevel="0" collapsed="false"/>
    <row r="2132" customFormat="false" ht="16" hidden="false" customHeight="true" outlineLevel="0" collapsed="false"/>
    <row r="2133" customFormat="false" ht="16" hidden="false" customHeight="true" outlineLevel="0" collapsed="false"/>
    <row r="2134" customFormat="false" ht="16" hidden="false" customHeight="true" outlineLevel="0" collapsed="false"/>
    <row r="2135" customFormat="false" ht="16" hidden="false" customHeight="true" outlineLevel="0" collapsed="false"/>
    <row r="2136" customFormat="false" ht="16" hidden="false" customHeight="true" outlineLevel="0" collapsed="false"/>
    <row r="2137" customFormat="false" ht="16" hidden="false" customHeight="true" outlineLevel="0" collapsed="false"/>
    <row r="2138" customFormat="false" ht="16" hidden="false" customHeight="true" outlineLevel="0" collapsed="false"/>
    <row r="2139" customFormat="false" ht="16" hidden="false" customHeight="true" outlineLevel="0" collapsed="false"/>
    <row r="2140" customFormat="false" ht="16" hidden="false" customHeight="true" outlineLevel="0" collapsed="false"/>
    <row r="2141" customFormat="false" ht="16" hidden="false" customHeight="true" outlineLevel="0" collapsed="false"/>
    <row r="2142" customFormat="false" ht="16" hidden="false" customHeight="true" outlineLevel="0" collapsed="false"/>
    <row r="2143" customFormat="false" ht="16" hidden="false" customHeight="true" outlineLevel="0" collapsed="false"/>
    <row r="2144" customFormat="false" ht="16" hidden="false" customHeight="true" outlineLevel="0" collapsed="false"/>
    <row r="2145" customFormat="false" ht="16" hidden="false" customHeight="true" outlineLevel="0" collapsed="false"/>
    <row r="2146" customFormat="false" ht="16" hidden="false" customHeight="true" outlineLevel="0" collapsed="false"/>
    <row r="2147" customFormat="false" ht="16" hidden="false" customHeight="true" outlineLevel="0" collapsed="false"/>
    <row r="2148" customFormat="false" ht="16" hidden="false" customHeight="true" outlineLevel="0" collapsed="false"/>
    <row r="2149" customFormat="false" ht="16" hidden="false" customHeight="true" outlineLevel="0" collapsed="false"/>
    <row r="2150" customFormat="false" ht="16" hidden="false" customHeight="true" outlineLevel="0" collapsed="false"/>
    <row r="2151" customFormat="false" ht="16" hidden="false" customHeight="true" outlineLevel="0" collapsed="false"/>
    <row r="2152" customFormat="false" ht="16" hidden="false" customHeight="true" outlineLevel="0" collapsed="false"/>
    <row r="2153" customFormat="false" ht="16" hidden="false" customHeight="true" outlineLevel="0" collapsed="false"/>
    <row r="2154" customFormat="false" ht="16" hidden="false" customHeight="true" outlineLevel="0" collapsed="false"/>
    <row r="2155" customFormat="false" ht="16" hidden="false" customHeight="true" outlineLevel="0" collapsed="false"/>
    <row r="2156" customFormat="false" ht="16" hidden="false" customHeight="true" outlineLevel="0" collapsed="false"/>
    <row r="2157" customFormat="false" ht="16" hidden="false" customHeight="true" outlineLevel="0" collapsed="false"/>
    <row r="2158" customFormat="false" ht="16" hidden="false" customHeight="true" outlineLevel="0" collapsed="false"/>
    <row r="2159" customFormat="false" ht="16" hidden="false" customHeight="true" outlineLevel="0" collapsed="false"/>
    <row r="2160" customFormat="false" ht="16" hidden="false" customHeight="true" outlineLevel="0" collapsed="false"/>
    <row r="2161" customFormat="false" ht="16" hidden="false" customHeight="true" outlineLevel="0" collapsed="false"/>
    <row r="2162" customFormat="false" ht="16" hidden="false" customHeight="true" outlineLevel="0" collapsed="false"/>
    <row r="2163" customFormat="false" ht="16" hidden="false" customHeight="true" outlineLevel="0" collapsed="false"/>
    <row r="2164" customFormat="false" ht="16" hidden="false" customHeight="true" outlineLevel="0" collapsed="false"/>
    <row r="2165" customFormat="false" ht="16" hidden="false" customHeight="true" outlineLevel="0" collapsed="false"/>
    <row r="2166" customFormat="false" ht="16" hidden="false" customHeight="true" outlineLevel="0" collapsed="false"/>
    <row r="2167" customFormat="false" ht="16" hidden="false" customHeight="true" outlineLevel="0" collapsed="false"/>
    <row r="2168" customFormat="false" ht="16" hidden="false" customHeight="true" outlineLevel="0" collapsed="false"/>
    <row r="2169" customFormat="false" ht="16" hidden="false" customHeight="true" outlineLevel="0" collapsed="false"/>
    <row r="2170" customFormat="false" ht="16" hidden="false" customHeight="true" outlineLevel="0" collapsed="false"/>
    <row r="2171" customFormat="false" ht="16" hidden="false" customHeight="true" outlineLevel="0" collapsed="false"/>
    <row r="2172" customFormat="false" ht="16" hidden="false" customHeight="true" outlineLevel="0" collapsed="false"/>
    <row r="2173" customFormat="false" ht="16" hidden="false" customHeight="true" outlineLevel="0" collapsed="false"/>
    <row r="2174" customFormat="false" ht="16" hidden="false" customHeight="true" outlineLevel="0" collapsed="false"/>
    <row r="2175" customFormat="false" ht="16" hidden="false" customHeight="true" outlineLevel="0" collapsed="false"/>
    <row r="2176" customFormat="false" ht="16" hidden="false" customHeight="true" outlineLevel="0" collapsed="false"/>
    <row r="2177" customFormat="false" ht="16" hidden="false" customHeight="true" outlineLevel="0" collapsed="false"/>
    <row r="2178" customFormat="false" ht="16" hidden="false" customHeight="true" outlineLevel="0" collapsed="false"/>
    <row r="2179" customFormat="false" ht="16" hidden="false" customHeight="true" outlineLevel="0" collapsed="false"/>
    <row r="2180" customFormat="false" ht="16" hidden="false" customHeight="true" outlineLevel="0" collapsed="false"/>
    <row r="2181" customFormat="false" ht="16" hidden="false" customHeight="true" outlineLevel="0" collapsed="false"/>
    <row r="2182" customFormat="false" ht="16" hidden="false" customHeight="true" outlineLevel="0" collapsed="false"/>
    <row r="2183" customFormat="false" ht="16" hidden="false" customHeight="true" outlineLevel="0" collapsed="false"/>
    <row r="2184" customFormat="false" ht="16" hidden="false" customHeight="true" outlineLevel="0" collapsed="false"/>
    <row r="2185" customFormat="false" ht="16" hidden="false" customHeight="true" outlineLevel="0" collapsed="false"/>
    <row r="2186" customFormat="false" ht="16" hidden="false" customHeight="true" outlineLevel="0" collapsed="false"/>
    <row r="2187" customFormat="false" ht="16" hidden="false" customHeight="true" outlineLevel="0" collapsed="false"/>
    <row r="2188" customFormat="false" ht="16" hidden="false" customHeight="true" outlineLevel="0" collapsed="false"/>
    <row r="2189" customFormat="false" ht="16" hidden="false" customHeight="true" outlineLevel="0" collapsed="false"/>
    <row r="2190" customFormat="false" ht="16" hidden="false" customHeight="true" outlineLevel="0" collapsed="false"/>
    <row r="2191" customFormat="false" ht="16" hidden="false" customHeight="true" outlineLevel="0" collapsed="false"/>
    <row r="2192" customFormat="false" ht="16" hidden="false" customHeight="true" outlineLevel="0" collapsed="false"/>
    <row r="2193" customFormat="false" ht="16" hidden="false" customHeight="true" outlineLevel="0" collapsed="false"/>
    <row r="2194" customFormat="false" ht="16" hidden="false" customHeight="true" outlineLevel="0" collapsed="false"/>
    <row r="2195" customFormat="false" ht="16" hidden="false" customHeight="true" outlineLevel="0" collapsed="false"/>
    <row r="2196" customFormat="false" ht="16" hidden="false" customHeight="true" outlineLevel="0" collapsed="false"/>
    <row r="2197" customFormat="false" ht="16" hidden="false" customHeight="true" outlineLevel="0" collapsed="false"/>
    <row r="2198" customFormat="false" ht="16" hidden="false" customHeight="true" outlineLevel="0" collapsed="false"/>
    <row r="2199" customFormat="false" ht="16" hidden="false" customHeight="true" outlineLevel="0" collapsed="false"/>
    <row r="2200" customFormat="false" ht="16" hidden="false" customHeight="true" outlineLevel="0" collapsed="false"/>
    <row r="2201" customFormat="false" ht="16" hidden="false" customHeight="true" outlineLevel="0" collapsed="false"/>
    <row r="2202" customFormat="false" ht="16" hidden="false" customHeight="true" outlineLevel="0" collapsed="false"/>
    <row r="2203" customFormat="false" ht="16" hidden="false" customHeight="true" outlineLevel="0" collapsed="false"/>
    <row r="2204" customFormat="false" ht="16" hidden="false" customHeight="true" outlineLevel="0" collapsed="false"/>
    <row r="2205" customFormat="false" ht="16" hidden="false" customHeight="true" outlineLevel="0" collapsed="false"/>
    <row r="2206" customFormat="false" ht="16" hidden="false" customHeight="true" outlineLevel="0" collapsed="false"/>
    <row r="2207" customFormat="false" ht="16" hidden="false" customHeight="true" outlineLevel="0" collapsed="false"/>
    <row r="2208" customFormat="false" ht="16" hidden="false" customHeight="true" outlineLevel="0" collapsed="false"/>
    <row r="2209" customFormat="false" ht="16" hidden="false" customHeight="true" outlineLevel="0" collapsed="false"/>
    <row r="2210" customFormat="false" ht="16" hidden="false" customHeight="true" outlineLevel="0" collapsed="false"/>
    <row r="2211" customFormat="false" ht="16" hidden="false" customHeight="true" outlineLevel="0" collapsed="false"/>
    <row r="2212" customFormat="false" ht="16" hidden="false" customHeight="true" outlineLevel="0" collapsed="false"/>
    <row r="2213" customFormat="false" ht="16" hidden="false" customHeight="true" outlineLevel="0" collapsed="false"/>
    <row r="2214" customFormat="false" ht="16" hidden="false" customHeight="true" outlineLevel="0" collapsed="false"/>
    <row r="2215" customFormat="false" ht="16" hidden="false" customHeight="true" outlineLevel="0" collapsed="false"/>
    <row r="2216" customFormat="false" ht="16" hidden="false" customHeight="true" outlineLevel="0" collapsed="false"/>
    <row r="2217" customFormat="false" ht="16" hidden="false" customHeight="true" outlineLevel="0" collapsed="false"/>
    <row r="2218" customFormat="false" ht="16" hidden="false" customHeight="true" outlineLevel="0" collapsed="false"/>
    <row r="2219" customFormat="false" ht="16" hidden="false" customHeight="true" outlineLevel="0" collapsed="false"/>
    <row r="2220" customFormat="false" ht="16" hidden="false" customHeight="true" outlineLevel="0" collapsed="false"/>
    <row r="2221" customFormat="false" ht="16" hidden="false" customHeight="true" outlineLevel="0" collapsed="false"/>
    <row r="2222" customFormat="false" ht="16" hidden="false" customHeight="true" outlineLevel="0" collapsed="false"/>
    <row r="2223" customFormat="false" ht="16" hidden="false" customHeight="true" outlineLevel="0" collapsed="false"/>
    <row r="2224" customFormat="false" ht="16" hidden="false" customHeight="true" outlineLevel="0" collapsed="false"/>
    <row r="2225" customFormat="false" ht="16" hidden="false" customHeight="true" outlineLevel="0" collapsed="false"/>
    <row r="2226" customFormat="false" ht="16" hidden="false" customHeight="true" outlineLevel="0" collapsed="false"/>
    <row r="2227" customFormat="false" ht="16" hidden="false" customHeight="true" outlineLevel="0" collapsed="false"/>
    <row r="2228" customFormat="false" ht="16" hidden="false" customHeight="true" outlineLevel="0" collapsed="false"/>
    <row r="2229" customFormat="false" ht="16" hidden="false" customHeight="true" outlineLevel="0" collapsed="false"/>
    <row r="2230" customFormat="false" ht="16" hidden="false" customHeight="true" outlineLevel="0" collapsed="false"/>
    <row r="2231" customFormat="false" ht="16" hidden="false" customHeight="true" outlineLevel="0" collapsed="false"/>
    <row r="2232" customFormat="false" ht="16" hidden="false" customHeight="true" outlineLevel="0" collapsed="false"/>
    <row r="2233" customFormat="false" ht="16" hidden="false" customHeight="true" outlineLevel="0" collapsed="false"/>
    <row r="2234" customFormat="false" ht="16" hidden="false" customHeight="true" outlineLevel="0" collapsed="false"/>
    <row r="2235" customFormat="false" ht="16" hidden="false" customHeight="true" outlineLevel="0" collapsed="false"/>
    <row r="2236" customFormat="false" ht="16" hidden="false" customHeight="true" outlineLevel="0" collapsed="false"/>
    <row r="2237" customFormat="false" ht="16" hidden="false" customHeight="true" outlineLevel="0" collapsed="false"/>
    <row r="2238" customFormat="false" ht="16" hidden="false" customHeight="true" outlineLevel="0" collapsed="false"/>
    <row r="2239" customFormat="false" ht="16" hidden="false" customHeight="true" outlineLevel="0" collapsed="false"/>
    <row r="2240" customFormat="false" ht="16" hidden="false" customHeight="true" outlineLevel="0" collapsed="false"/>
    <row r="2241" customFormat="false" ht="16" hidden="false" customHeight="true" outlineLevel="0" collapsed="false"/>
    <row r="2242" customFormat="false" ht="16" hidden="false" customHeight="true" outlineLevel="0" collapsed="false"/>
    <row r="2243" customFormat="false" ht="16" hidden="false" customHeight="true" outlineLevel="0" collapsed="false"/>
    <row r="2244" customFormat="false" ht="16" hidden="false" customHeight="true" outlineLevel="0" collapsed="false"/>
    <row r="2245" customFormat="false" ht="16" hidden="false" customHeight="true" outlineLevel="0" collapsed="false"/>
    <row r="2246" customFormat="false" ht="16" hidden="false" customHeight="true" outlineLevel="0" collapsed="false"/>
    <row r="2247" customFormat="false" ht="16" hidden="false" customHeight="true" outlineLevel="0" collapsed="false"/>
    <row r="2248" customFormat="false" ht="16" hidden="false" customHeight="true" outlineLevel="0" collapsed="false"/>
    <row r="2249" customFormat="false" ht="16" hidden="false" customHeight="true" outlineLevel="0" collapsed="false"/>
    <row r="2250" customFormat="false" ht="16" hidden="false" customHeight="true" outlineLevel="0" collapsed="false"/>
    <row r="2251" customFormat="false" ht="16" hidden="false" customHeight="true" outlineLevel="0" collapsed="false"/>
    <row r="2252" customFormat="false" ht="16" hidden="false" customHeight="true" outlineLevel="0" collapsed="false"/>
    <row r="2253" customFormat="false" ht="16" hidden="false" customHeight="true" outlineLevel="0" collapsed="false"/>
    <row r="2254" customFormat="false" ht="16" hidden="false" customHeight="true" outlineLevel="0" collapsed="false"/>
    <row r="2255" customFormat="false" ht="16" hidden="false" customHeight="true" outlineLevel="0" collapsed="false"/>
    <row r="2256" customFormat="false" ht="16" hidden="false" customHeight="true" outlineLevel="0" collapsed="false"/>
    <row r="2257" customFormat="false" ht="16" hidden="false" customHeight="true" outlineLevel="0" collapsed="false"/>
    <row r="2258" customFormat="false" ht="16" hidden="false" customHeight="true" outlineLevel="0" collapsed="false"/>
    <row r="2259" customFormat="false" ht="16" hidden="false" customHeight="true" outlineLevel="0" collapsed="false"/>
    <row r="2260" customFormat="false" ht="16" hidden="false" customHeight="true" outlineLevel="0" collapsed="false"/>
    <row r="2261" customFormat="false" ht="16" hidden="false" customHeight="true" outlineLevel="0" collapsed="false"/>
    <row r="2262" customFormat="false" ht="16" hidden="false" customHeight="true" outlineLevel="0" collapsed="false"/>
    <row r="2263" customFormat="false" ht="16" hidden="false" customHeight="true" outlineLevel="0" collapsed="false"/>
    <row r="2264" customFormat="false" ht="16" hidden="false" customHeight="true" outlineLevel="0" collapsed="false"/>
    <row r="2265" customFormat="false" ht="16" hidden="false" customHeight="true" outlineLevel="0" collapsed="false"/>
    <row r="2266" customFormat="false" ht="16" hidden="false" customHeight="true" outlineLevel="0" collapsed="false"/>
    <row r="2267" customFormat="false" ht="16" hidden="false" customHeight="true" outlineLevel="0" collapsed="false"/>
    <row r="2268" customFormat="false" ht="16" hidden="false" customHeight="true" outlineLevel="0" collapsed="false"/>
    <row r="2269" customFormat="false" ht="16" hidden="false" customHeight="true" outlineLevel="0" collapsed="false"/>
    <row r="2270" customFormat="false" ht="16" hidden="false" customHeight="true" outlineLevel="0" collapsed="false"/>
    <row r="2271" customFormat="false" ht="16" hidden="false" customHeight="true" outlineLevel="0" collapsed="false"/>
    <row r="2272" customFormat="false" ht="16" hidden="false" customHeight="true" outlineLevel="0" collapsed="false"/>
    <row r="2273" customFormat="false" ht="16" hidden="false" customHeight="true" outlineLevel="0" collapsed="false"/>
    <row r="2274" customFormat="false" ht="16" hidden="false" customHeight="true" outlineLevel="0" collapsed="false"/>
    <row r="2275" customFormat="false" ht="16" hidden="false" customHeight="true" outlineLevel="0" collapsed="false"/>
    <row r="2276" customFormat="false" ht="16" hidden="false" customHeight="true" outlineLevel="0" collapsed="false"/>
    <row r="2277" customFormat="false" ht="16" hidden="false" customHeight="true" outlineLevel="0" collapsed="false"/>
    <row r="2278" customFormat="false" ht="16" hidden="false" customHeight="true" outlineLevel="0" collapsed="false"/>
    <row r="2279" customFormat="false" ht="16" hidden="false" customHeight="true" outlineLevel="0" collapsed="false"/>
    <row r="2280" customFormat="false" ht="16" hidden="false" customHeight="true" outlineLevel="0" collapsed="false"/>
    <row r="2281" customFormat="false" ht="16" hidden="false" customHeight="true" outlineLevel="0" collapsed="false"/>
    <row r="2282" customFormat="false" ht="16" hidden="false" customHeight="true" outlineLevel="0" collapsed="false"/>
    <row r="2283" customFormat="false" ht="16" hidden="false" customHeight="true" outlineLevel="0" collapsed="false"/>
    <row r="2284" customFormat="false" ht="16" hidden="false" customHeight="true" outlineLevel="0" collapsed="false"/>
    <row r="2285" customFormat="false" ht="16" hidden="false" customHeight="true" outlineLevel="0" collapsed="false"/>
    <row r="2286" customFormat="false" ht="16" hidden="false" customHeight="true" outlineLevel="0" collapsed="false"/>
    <row r="2287" customFormat="false" ht="16" hidden="false" customHeight="true" outlineLevel="0" collapsed="false"/>
    <row r="2288" customFormat="false" ht="16" hidden="false" customHeight="true" outlineLevel="0" collapsed="false"/>
    <row r="2289" customFormat="false" ht="16" hidden="false" customHeight="true" outlineLevel="0" collapsed="false"/>
    <row r="2290" customFormat="false" ht="16" hidden="false" customHeight="true" outlineLevel="0" collapsed="false"/>
    <row r="2291" customFormat="false" ht="16" hidden="false" customHeight="true" outlineLevel="0" collapsed="false"/>
    <row r="2292" customFormat="false" ht="16" hidden="false" customHeight="true" outlineLevel="0" collapsed="false"/>
    <row r="2293" customFormat="false" ht="16" hidden="false" customHeight="true" outlineLevel="0" collapsed="false"/>
    <row r="2294" customFormat="false" ht="16" hidden="false" customHeight="true" outlineLevel="0" collapsed="false"/>
    <row r="2295" customFormat="false" ht="16" hidden="false" customHeight="true" outlineLevel="0" collapsed="false"/>
    <row r="2296" customFormat="false" ht="16" hidden="false" customHeight="true" outlineLevel="0" collapsed="false"/>
    <row r="2297" customFormat="false" ht="16" hidden="false" customHeight="true" outlineLevel="0" collapsed="false"/>
    <row r="2298" customFormat="false" ht="16" hidden="false" customHeight="true" outlineLevel="0" collapsed="false"/>
    <row r="2299" customFormat="false" ht="16" hidden="false" customHeight="true" outlineLevel="0" collapsed="false"/>
    <row r="2300" customFormat="false" ht="16" hidden="false" customHeight="true" outlineLevel="0" collapsed="false"/>
    <row r="2301" customFormat="false" ht="16" hidden="false" customHeight="true" outlineLevel="0" collapsed="false"/>
    <row r="2302" customFormat="false" ht="16" hidden="false" customHeight="true" outlineLevel="0" collapsed="false"/>
    <row r="2303" customFormat="false" ht="16" hidden="false" customHeight="true" outlineLevel="0" collapsed="false"/>
    <row r="2304" customFormat="false" ht="16" hidden="false" customHeight="true" outlineLevel="0" collapsed="false"/>
    <row r="2305" customFormat="false" ht="16" hidden="false" customHeight="true" outlineLevel="0" collapsed="false"/>
    <row r="2306" customFormat="false" ht="16" hidden="false" customHeight="true" outlineLevel="0" collapsed="false"/>
    <row r="2307" customFormat="false" ht="16" hidden="false" customHeight="true" outlineLevel="0" collapsed="false"/>
    <row r="2308" customFormat="false" ht="16" hidden="false" customHeight="true" outlineLevel="0" collapsed="false"/>
    <row r="2309" customFormat="false" ht="16" hidden="false" customHeight="true" outlineLevel="0" collapsed="false"/>
    <row r="2310" customFormat="false" ht="16" hidden="false" customHeight="true" outlineLevel="0" collapsed="false"/>
    <row r="2311" customFormat="false" ht="16" hidden="false" customHeight="true" outlineLevel="0" collapsed="false"/>
    <row r="2312" customFormat="false" ht="16" hidden="false" customHeight="true" outlineLevel="0" collapsed="false"/>
    <row r="2313" customFormat="false" ht="16" hidden="false" customHeight="true" outlineLevel="0" collapsed="false"/>
    <row r="2314" customFormat="false" ht="16" hidden="false" customHeight="true" outlineLevel="0" collapsed="false"/>
    <row r="2315" customFormat="false" ht="16" hidden="false" customHeight="true" outlineLevel="0" collapsed="false"/>
    <row r="2316" customFormat="false" ht="16" hidden="false" customHeight="true" outlineLevel="0" collapsed="false"/>
    <row r="2317" customFormat="false" ht="16" hidden="false" customHeight="true" outlineLevel="0" collapsed="false"/>
    <row r="2318" customFormat="false" ht="16" hidden="false" customHeight="true" outlineLevel="0" collapsed="false"/>
    <row r="2319" customFormat="false" ht="16" hidden="false" customHeight="true" outlineLevel="0" collapsed="false"/>
    <row r="2320" customFormat="false" ht="16" hidden="false" customHeight="true" outlineLevel="0" collapsed="false"/>
    <row r="2321" customFormat="false" ht="16" hidden="false" customHeight="true" outlineLevel="0" collapsed="false"/>
    <row r="2322" customFormat="false" ht="16" hidden="false" customHeight="true" outlineLevel="0" collapsed="false"/>
    <row r="2323" customFormat="false" ht="16" hidden="false" customHeight="true" outlineLevel="0" collapsed="false"/>
    <row r="2324" customFormat="false" ht="16" hidden="false" customHeight="true" outlineLevel="0" collapsed="false"/>
    <row r="2325" customFormat="false" ht="16" hidden="false" customHeight="true" outlineLevel="0" collapsed="false"/>
    <row r="2326" customFormat="false" ht="16" hidden="false" customHeight="true" outlineLevel="0" collapsed="false"/>
    <row r="2327" customFormat="false" ht="16" hidden="false" customHeight="true" outlineLevel="0" collapsed="false"/>
    <row r="2328" customFormat="false" ht="16" hidden="false" customHeight="true" outlineLevel="0" collapsed="false"/>
    <row r="2329" customFormat="false" ht="16" hidden="false" customHeight="true" outlineLevel="0" collapsed="false"/>
    <row r="2330" customFormat="false" ht="16" hidden="false" customHeight="true" outlineLevel="0" collapsed="false"/>
    <row r="2331" customFormat="false" ht="16" hidden="false" customHeight="true" outlineLevel="0" collapsed="false"/>
    <row r="2332" customFormat="false" ht="16" hidden="false" customHeight="true" outlineLevel="0" collapsed="false"/>
    <row r="2333" customFormat="false" ht="16" hidden="false" customHeight="true" outlineLevel="0" collapsed="false"/>
    <row r="2334" customFormat="false" ht="16" hidden="false" customHeight="true" outlineLevel="0" collapsed="false"/>
    <row r="2335" customFormat="false" ht="16" hidden="false" customHeight="true" outlineLevel="0" collapsed="false"/>
    <row r="2336" customFormat="false" ht="16" hidden="false" customHeight="true" outlineLevel="0" collapsed="false"/>
    <row r="2337" customFormat="false" ht="16" hidden="false" customHeight="true" outlineLevel="0" collapsed="false"/>
    <row r="2338" customFormat="false" ht="16" hidden="false" customHeight="true" outlineLevel="0" collapsed="false"/>
    <row r="2339" customFormat="false" ht="16" hidden="false" customHeight="true" outlineLevel="0" collapsed="false"/>
    <row r="2340" customFormat="false" ht="16" hidden="false" customHeight="true" outlineLevel="0" collapsed="false"/>
    <row r="2341" customFormat="false" ht="16" hidden="false" customHeight="true" outlineLevel="0" collapsed="false"/>
    <row r="2342" customFormat="false" ht="16" hidden="false" customHeight="true" outlineLevel="0" collapsed="false"/>
    <row r="2343" customFormat="false" ht="16" hidden="false" customHeight="true" outlineLevel="0" collapsed="false"/>
    <row r="2344" customFormat="false" ht="16" hidden="false" customHeight="true" outlineLevel="0" collapsed="false"/>
    <row r="2345" customFormat="false" ht="16" hidden="false" customHeight="true" outlineLevel="0" collapsed="false"/>
    <row r="2346" customFormat="false" ht="16" hidden="false" customHeight="true" outlineLevel="0" collapsed="false"/>
    <row r="2347" customFormat="false" ht="16" hidden="false" customHeight="true" outlineLevel="0" collapsed="false"/>
    <row r="2348" customFormat="false" ht="16" hidden="false" customHeight="true" outlineLevel="0" collapsed="false"/>
    <row r="2349" customFormat="false" ht="16" hidden="false" customHeight="true" outlineLevel="0" collapsed="false"/>
    <row r="2350" customFormat="false" ht="16" hidden="false" customHeight="true" outlineLevel="0" collapsed="false"/>
    <row r="2351" customFormat="false" ht="16" hidden="false" customHeight="true" outlineLevel="0" collapsed="false"/>
    <row r="2352" customFormat="false" ht="16" hidden="false" customHeight="true" outlineLevel="0" collapsed="false"/>
    <row r="2353" customFormat="false" ht="16" hidden="false" customHeight="true" outlineLevel="0" collapsed="false"/>
    <row r="2354" customFormat="false" ht="16" hidden="false" customHeight="true" outlineLevel="0" collapsed="false"/>
    <row r="2355" customFormat="false" ht="16" hidden="false" customHeight="true" outlineLevel="0" collapsed="false"/>
    <row r="2356" customFormat="false" ht="16" hidden="false" customHeight="true" outlineLevel="0" collapsed="false"/>
    <row r="2357" customFormat="false" ht="16" hidden="false" customHeight="true" outlineLevel="0" collapsed="false"/>
    <row r="2358" customFormat="false" ht="16" hidden="false" customHeight="true" outlineLevel="0" collapsed="false"/>
    <row r="2359" customFormat="false" ht="16" hidden="false" customHeight="true" outlineLevel="0" collapsed="false"/>
    <row r="2360" customFormat="false" ht="16" hidden="false" customHeight="true" outlineLevel="0" collapsed="false"/>
    <row r="2361" customFormat="false" ht="16" hidden="false" customHeight="true" outlineLevel="0" collapsed="false"/>
    <row r="2362" customFormat="false" ht="16" hidden="false" customHeight="true" outlineLevel="0" collapsed="false"/>
    <row r="2363" customFormat="false" ht="16" hidden="false" customHeight="true" outlineLevel="0" collapsed="false"/>
    <row r="2364" customFormat="false" ht="16" hidden="false" customHeight="true" outlineLevel="0" collapsed="false"/>
    <row r="2365" customFormat="false" ht="16" hidden="false" customHeight="true" outlineLevel="0" collapsed="false"/>
    <row r="2366" customFormat="false" ht="16" hidden="false" customHeight="true" outlineLevel="0" collapsed="false"/>
    <row r="2367" customFormat="false" ht="16" hidden="false" customHeight="true" outlineLevel="0" collapsed="false"/>
    <row r="2368" customFormat="false" ht="16" hidden="false" customHeight="true" outlineLevel="0" collapsed="false"/>
    <row r="2369" customFormat="false" ht="16" hidden="false" customHeight="true" outlineLevel="0" collapsed="false"/>
    <row r="2370" customFormat="false" ht="16" hidden="false" customHeight="true" outlineLevel="0" collapsed="false"/>
    <row r="2371" customFormat="false" ht="16" hidden="false" customHeight="true" outlineLevel="0" collapsed="false"/>
    <row r="2372" customFormat="false" ht="16" hidden="false" customHeight="true" outlineLevel="0" collapsed="false"/>
    <row r="2373" customFormat="false" ht="16" hidden="false" customHeight="true" outlineLevel="0" collapsed="false"/>
    <row r="2374" customFormat="false" ht="16" hidden="false" customHeight="true" outlineLevel="0" collapsed="false"/>
    <row r="2375" customFormat="false" ht="16" hidden="false" customHeight="true" outlineLevel="0" collapsed="false"/>
    <row r="2376" customFormat="false" ht="16" hidden="false" customHeight="true" outlineLevel="0" collapsed="false"/>
    <row r="2377" customFormat="false" ht="16" hidden="false" customHeight="true" outlineLevel="0" collapsed="false"/>
    <row r="2378" customFormat="false" ht="16" hidden="false" customHeight="true" outlineLevel="0" collapsed="false"/>
    <row r="2379" customFormat="false" ht="16" hidden="false" customHeight="true" outlineLevel="0" collapsed="false"/>
    <row r="2380" customFormat="false" ht="16" hidden="false" customHeight="true" outlineLevel="0" collapsed="false"/>
    <row r="2381" customFormat="false" ht="16" hidden="false" customHeight="true" outlineLevel="0" collapsed="false"/>
    <row r="2382" customFormat="false" ht="16" hidden="false" customHeight="true" outlineLevel="0" collapsed="false"/>
    <row r="2383" customFormat="false" ht="16" hidden="false" customHeight="true" outlineLevel="0" collapsed="false"/>
    <row r="2384" customFormat="false" ht="16" hidden="false" customHeight="true" outlineLevel="0" collapsed="false"/>
    <row r="2385" customFormat="false" ht="16" hidden="false" customHeight="true" outlineLevel="0" collapsed="false"/>
    <row r="2386" customFormat="false" ht="16" hidden="false" customHeight="true" outlineLevel="0" collapsed="false"/>
    <row r="2387" customFormat="false" ht="16" hidden="false" customHeight="true" outlineLevel="0" collapsed="false"/>
    <row r="2388" customFormat="false" ht="16" hidden="false" customHeight="true" outlineLevel="0" collapsed="false"/>
    <row r="2389" customFormat="false" ht="16" hidden="false" customHeight="true" outlineLevel="0" collapsed="false"/>
    <row r="2390" customFormat="false" ht="16" hidden="false" customHeight="true" outlineLevel="0" collapsed="false"/>
    <row r="2391" customFormat="false" ht="16" hidden="false" customHeight="true" outlineLevel="0" collapsed="false"/>
    <row r="2392" customFormat="false" ht="16" hidden="false" customHeight="true" outlineLevel="0" collapsed="false"/>
    <row r="2393" customFormat="false" ht="16" hidden="false" customHeight="true" outlineLevel="0" collapsed="false"/>
    <row r="2394" customFormat="false" ht="16" hidden="false" customHeight="true" outlineLevel="0" collapsed="false"/>
    <row r="2395" customFormat="false" ht="16" hidden="false" customHeight="true" outlineLevel="0" collapsed="false"/>
    <row r="2396" customFormat="false" ht="16" hidden="false" customHeight="true" outlineLevel="0" collapsed="false"/>
    <row r="2397" customFormat="false" ht="16" hidden="false" customHeight="true" outlineLevel="0" collapsed="false"/>
    <row r="2398" customFormat="false" ht="16" hidden="false" customHeight="true" outlineLevel="0" collapsed="false"/>
    <row r="2399" customFormat="false" ht="16" hidden="false" customHeight="true" outlineLevel="0" collapsed="false"/>
    <row r="2400" customFormat="false" ht="16" hidden="false" customHeight="true" outlineLevel="0" collapsed="false"/>
    <row r="2401" customFormat="false" ht="16" hidden="false" customHeight="true" outlineLevel="0" collapsed="false"/>
    <row r="2402" customFormat="false" ht="16" hidden="false" customHeight="true" outlineLevel="0" collapsed="false"/>
    <row r="2403" customFormat="false" ht="16" hidden="false" customHeight="true" outlineLevel="0" collapsed="false"/>
    <row r="2404" customFormat="false" ht="16" hidden="false" customHeight="true" outlineLevel="0" collapsed="false"/>
    <row r="2405" customFormat="false" ht="16" hidden="false" customHeight="true" outlineLevel="0" collapsed="false"/>
    <row r="2406" customFormat="false" ht="16" hidden="false" customHeight="true" outlineLevel="0" collapsed="false"/>
    <row r="2407" customFormat="false" ht="16" hidden="false" customHeight="true" outlineLevel="0" collapsed="false"/>
    <row r="2408" customFormat="false" ht="16" hidden="false" customHeight="true" outlineLevel="0" collapsed="false"/>
    <row r="2409" customFormat="false" ht="16" hidden="false" customHeight="true" outlineLevel="0" collapsed="false"/>
    <row r="2410" customFormat="false" ht="16" hidden="false" customHeight="true" outlineLevel="0" collapsed="false"/>
    <row r="2411" customFormat="false" ht="16" hidden="false" customHeight="true" outlineLevel="0" collapsed="false"/>
    <row r="2412" customFormat="false" ht="16" hidden="false" customHeight="true" outlineLevel="0" collapsed="false"/>
    <row r="2413" customFormat="false" ht="16" hidden="false" customHeight="true" outlineLevel="0" collapsed="false"/>
    <row r="2414" customFormat="false" ht="16" hidden="false" customHeight="true" outlineLevel="0" collapsed="false"/>
    <row r="2415" customFormat="false" ht="16" hidden="false" customHeight="true" outlineLevel="0" collapsed="false"/>
    <row r="2416" customFormat="false" ht="16" hidden="false" customHeight="true" outlineLevel="0" collapsed="false"/>
    <row r="2417" customFormat="false" ht="16" hidden="false" customHeight="true" outlineLevel="0" collapsed="false"/>
    <row r="2418" customFormat="false" ht="16" hidden="false" customHeight="true" outlineLevel="0" collapsed="false"/>
    <row r="2419" customFormat="false" ht="16" hidden="false" customHeight="true" outlineLevel="0" collapsed="false"/>
    <row r="2420" customFormat="false" ht="16" hidden="false" customHeight="true" outlineLevel="0" collapsed="false"/>
    <row r="2421" customFormat="false" ht="16" hidden="false" customHeight="true" outlineLevel="0" collapsed="false"/>
    <row r="2422" customFormat="false" ht="16" hidden="false" customHeight="true" outlineLevel="0" collapsed="false"/>
    <row r="2423" customFormat="false" ht="16" hidden="false" customHeight="true" outlineLevel="0" collapsed="false"/>
    <row r="2424" customFormat="false" ht="16" hidden="false" customHeight="true" outlineLevel="0" collapsed="false"/>
    <row r="2425" customFormat="false" ht="16" hidden="false" customHeight="true" outlineLevel="0" collapsed="false"/>
    <row r="2426" customFormat="false" ht="16" hidden="false" customHeight="true" outlineLevel="0" collapsed="false"/>
    <row r="2427" customFormat="false" ht="16" hidden="false" customHeight="true" outlineLevel="0" collapsed="false"/>
    <row r="2428" customFormat="false" ht="16" hidden="false" customHeight="true" outlineLevel="0" collapsed="false"/>
    <row r="2429" customFormat="false" ht="16" hidden="false" customHeight="true" outlineLevel="0" collapsed="false"/>
    <row r="2430" customFormat="false" ht="16" hidden="false" customHeight="true" outlineLevel="0" collapsed="false"/>
    <row r="2431" customFormat="false" ht="16" hidden="false" customHeight="true" outlineLevel="0" collapsed="false"/>
    <row r="2432" customFormat="false" ht="16" hidden="false" customHeight="true" outlineLevel="0" collapsed="false"/>
    <row r="2433" customFormat="false" ht="16" hidden="false" customHeight="true" outlineLevel="0" collapsed="false"/>
    <row r="2434" customFormat="false" ht="16" hidden="false" customHeight="true" outlineLevel="0" collapsed="false"/>
    <row r="2435" customFormat="false" ht="16" hidden="false" customHeight="true" outlineLevel="0" collapsed="false"/>
    <row r="2436" customFormat="false" ht="16" hidden="false" customHeight="true" outlineLevel="0" collapsed="false"/>
    <row r="2437" customFormat="false" ht="16" hidden="false" customHeight="true" outlineLevel="0" collapsed="false"/>
    <row r="2438" customFormat="false" ht="16" hidden="false" customHeight="true" outlineLevel="0" collapsed="false"/>
    <row r="2439" customFormat="false" ht="16" hidden="false" customHeight="true" outlineLevel="0" collapsed="false"/>
    <row r="2440" customFormat="false" ht="16" hidden="false" customHeight="true" outlineLevel="0" collapsed="false"/>
    <row r="2441" customFormat="false" ht="16" hidden="false" customHeight="true" outlineLevel="0" collapsed="false"/>
    <row r="2442" customFormat="false" ht="16" hidden="false" customHeight="true" outlineLevel="0" collapsed="false"/>
    <row r="2443" customFormat="false" ht="16" hidden="false" customHeight="true" outlineLevel="0" collapsed="false"/>
    <row r="2444" customFormat="false" ht="16" hidden="false" customHeight="true" outlineLevel="0" collapsed="false"/>
    <row r="2445" customFormat="false" ht="16" hidden="false" customHeight="true" outlineLevel="0" collapsed="false"/>
    <row r="2446" customFormat="false" ht="16" hidden="false" customHeight="true" outlineLevel="0" collapsed="false"/>
    <row r="2447" customFormat="false" ht="16" hidden="false" customHeight="true" outlineLevel="0" collapsed="false"/>
    <row r="2448" customFormat="false" ht="16" hidden="false" customHeight="true" outlineLevel="0" collapsed="false"/>
    <row r="2449" customFormat="false" ht="16" hidden="false" customHeight="true" outlineLevel="0" collapsed="false"/>
    <row r="2450" customFormat="false" ht="16" hidden="false" customHeight="true" outlineLevel="0" collapsed="false"/>
    <row r="2451" customFormat="false" ht="16" hidden="false" customHeight="true" outlineLevel="0" collapsed="false"/>
    <row r="2452" customFormat="false" ht="16" hidden="false" customHeight="true" outlineLevel="0" collapsed="false"/>
    <row r="2453" customFormat="false" ht="16" hidden="false" customHeight="true" outlineLevel="0" collapsed="false"/>
    <row r="2454" customFormat="false" ht="16" hidden="false" customHeight="true" outlineLevel="0" collapsed="false"/>
    <row r="2455" customFormat="false" ht="16" hidden="false" customHeight="true" outlineLevel="0" collapsed="false"/>
    <row r="2456" customFormat="false" ht="16" hidden="false" customHeight="true" outlineLevel="0" collapsed="false"/>
    <row r="2457" customFormat="false" ht="16" hidden="false" customHeight="true" outlineLevel="0" collapsed="false"/>
    <row r="2458" customFormat="false" ht="16" hidden="false" customHeight="true" outlineLevel="0" collapsed="false"/>
    <row r="2459" customFormat="false" ht="16" hidden="false" customHeight="true" outlineLevel="0" collapsed="false"/>
    <row r="2460" customFormat="false" ht="16" hidden="false" customHeight="true" outlineLevel="0" collapsed="false"/>
    <row r="2461" customFormat="false" ht="16" hidden="false" customHeight="true" outlineLevel="0" collapsed="false"/>
    <row r="2462" customFormat="false" ht="16" hidden="false" customHeight="true" outlineLevel="0" collapsed="false"/>
    <row r="2463" customFormat="false" ht="16" hidden="false" customHeight="true" outlineLevel="0" collapsed="false"/>
    <row r="2464" customFormat="false" ht="16" hidden="false" customHeight="true" outlineLevel="0" collapsed="false"/>
    <row r="2465" customFormat="false" ht="16" hidden="false" customHeight="true" outlineLevel="0" collapsed="false"/>
    <row r="2466" customFormat="false" ht="16" hidden="false" customHeight="true" outlineLevel="0" collapsed="false"/>
    <row r="2467" customFormat="false" ht="16" hidden="false" customHeight="true" outlineLevel="0" collapsed="false"/>
    <row r="2468" customFormat="false" ht="16" hidden="false" customHeight="true" outlineLevel="0" collapsed="false"/>
    <row r="2469" customFormat="false" ht="16" hidden="false" customHeight="true" outlineLevel="0" collapsed="false"/>
    <row r="2470" customFormat="false" ht="16" hidden="false" customHeight="true" outlineLevel="0" collapsed="false"/>
    <row r="2471" customFormat="false" ht="16" hidden="false" customHeight="true" outlineLevel="0" collapsed="false"/>
    <row r="2472" customFormat="false" ht="16" hidden="false" customHeight="true" outlineLevel="0" collapsed="false"/>
    <row r="2473" customFormat="false" ht="16" hidden="false" customHeight="true" outlineLevel="0" collapsed="false"/>
    <row r="2474" customFormat="false" ht="16" hidden="false" customHeight="true" outlineLevel="0" collapsed="false"/>
    <row r="2475" customFormat="false" ht="16" hidden="false" customHeight="true" outlineLevel="0" collapsed="false"/>
    <row r="2476" customFormat="false" ht="16" hidden="false" customHeight="true" outlineLevel="0" collapsed="false"/>
    <row r="2477" customFormat="false" ht="16" hidden="false" customHeight="true" outlineLevel="0" collapsed="false"/>
    <row r="2478" customFormat="false" ht="16" hidden="false" customHeight="true" outlineLevel="0" collapsed="false"/>
    <row r="2479" customFormat="false" ht="16" hidden="false" customHeight="true" outlineLevel="0" collapsed="false"/>
    <row r="2480" customFormat="false" ht="16" hidden="false" customHeight="true" outlineLevel="0" collapsed="false"/>
    <row r="2481" customFormat="false" ht="16" hidden="false" customHeight="true" outlineLevel="0" collapsed="false"/>
    <row r="2482" customFormat="false" ht="16" hidden="false" customHeight="true" outlineLevel="0" collapsed="false"/>
    <row r="2483" customFormat="false" ht="16" hidden="false" customHeight="true" outlineLevel="0" collapsed="false"/>
    <row r="2484" customFormat="false" ht="16" hidden="false" customHeight="true" outlineLevel="0" collapsed="false"/>
    <row r="2485" customFormat="false" ht="16" hidden="false" customHeight="true" outlineLevel="0" collapsed="false"/>
    <row r="2486" customFormat="false" ht="16" hidden="false" customHeight="true" outlineLevel="0" collapsed="false"/>
    <row r="2487" customFormat="false" ht="16" hidden="false" customHeight="true" outlineLevel="0" collapsed="false"/>
    <row r="2488" customFormat="false" ht="16" hidden="false" customHeight="true" outlineLevel="0" collapsed="false"/>
    <row r="2489" customFormat="false" ht="16" hidden="false" customHeight="true" outlineLevel="0" collapsed="false"/>
    <row r="2490" customFormat="false" ht="16" hidden="false" customHeight="true" outlineLevel="0" collapsed="false"/>
    <row r="2491" customFormat="false" ht="16" hidden="false" customHeight="true" outlineLevel="0" collapsed="false"/>
    <row r="2492" customFormat="false" ht="16" hidden="false" customHeight="true" outlineLevel="0" collapsed="false"/>
    <row r="2493" customFormat="false" ht="16" hidden="false" customHeight="true" outlineLevel="0" collapsed="false"/>
    <row r="2494" customFormat="false" ht="16" hidden="false" customHeight="true" outlineLevel="0" collapsed="false"/>
    <row r="2495" customFormat="false" ht="16" hidden="false" customHeight="true" outlineLevel="0" collapsed="false"/>
    <row r="2496" customFormat="false" ht="16" hidden="false" customHeight="true" outlineLevel="0" collapsed="false"/>
    <row r="2497" customFormat="false" ht="16" hidden="false" customHeight="true" outlineLevel="0" collapsed="false"/>
    <row r="2498" customFormat="false" ht="16" hidden="false" customHeight="true" outlineLevel="0" collapsed="false"/>
    <row r="2499" customFormat="false" ht="16" hidden="false" customHeight="true" outlineLevel="0" collapsed="false"/>
    <row r="2500" customFormat="false" ht="16" hidden="false" customHeight="true" outlineLevel="0" collapsed="false"/>
    <row r="2501" customFormat="false" ht="16" hidden="false" customHeight="true" outlineLevel="0" collapsed="false"/>
    <row r="2502" customFormat="false" ht="16" hidden="false" customHeight="true" outlineLevel="0" collapsed="false"/>
    <row r="2503" customFormat="false" ht="16" hidden="false" customHeight="true" outlineLevel="0" collapsed="false"/>
    <row r="2504" customFormat="false" ht="16" hidden="false" customHeight="true" outlineLevel="0" collapsed="false"/>
    <row r="2505" customFormat="false" ht="16" hidden="false" customHeight="true" outlineLevel="0" collapsed="false"/>
    <row r="2506" customFormat="false" ht="16" hidden="false" customHeight="true" outlineLevel="0" collapsed="false"/>
    <row r="2507" customFormat="false" ht="16" hidden="false" customHeight="true" outlineLevel="0" collapsed="false"/>
    <row r="2508" customFormat="false" ht="16" hidden="false" customHeight="true" outlineLevel="0" collapsed="false"/>
    <row r="2509" customFormat="false" ht="16" hidden="false" customHeight="true" outlineLevel="0" collapsed="false"/>
    <row r="2510" customFormat="false" ht="16" hidden="false" customHeight="true" outlineLevel="0" collapsed="false"/>
    <row r="2511" customFormat="false" ht="16" hidden="false" customHeight="true" outlineLevel="0" collapsed="false"/>
    <row r="2512" customFormat="false" ht="16" hidden="false" customHeight="true" outlineLevel="0" collapsed="false"/>
    <row r="2513" customFormat="false" ht="16" hidden="false" customHeight="true" outlineLevel="0" collapsed="false"/>
    <row r="2514" customFormat="false" ht="16" hidden="false" customHeight="true" outlineLevel="0" collapsed="false"/>
    <row r="2515" customFormat="false" ht="16" hidden="false" customHeight="true" outlineLevel="0" collapsed="false"/>
    <row r="2516" customFormat="false" ht="16" hidden="false" customHeight="true" outlineLevel="0" collapsed="false"/>
    <row r="2517" customFormat="false" ht="16" hidden="false" customHeight="true" outlineLevel="0" collapsed="false"/>
    <row r="2518" customFormat="false" ht="16" hidden="false" customHeight="true" outlineLevel="0" collapsed="false"/>
    <row r="2519" customFormat="false" ht="16" hidden="false" customHeight="true" outlineLevel="0" collapsed="false"/>
    <row r="2520" customFormat="false" ht="16" hidden="false" customHeight="true" outlineLevel="0" collapsed="false"/>
    <row r="2521" customFormat="false" ht="16" hidden="false" customHeight="true" outlineLevel="0" collapsed="false"/>
    <row r="2522" customFormat="false" ht="16" hidden="false" customHeight="true" outlineLevel="0" collapsed="false"/>
    <row r="2523" customFormat="false" ht="16" hidden="false" customHeight="true" outlineLevel="0" collapsed="false"/>
    <row r="2524" customFormat="false" ht="16" hidden="false" customHeight="true" outlineLevel="0" collapsed="false"/>
    <row r="2525" customFormat="false" ht="16" hidden="false" customHeight="true" outlineLevel="0" collapsed="false"/>
    <row r="2526" customFormat="false" ht="16" hidden="false" customHeight="true" outlineLevel="0" collapsed="false"/>
    <row r="2527" customFormat="false" ht="16" hidden="false" customHeight="true" outlineLevel="0" collapsed="false"/>
    <row r="2528" customFormat="false" ht="16" hidden="false" customHeight="true" outlineLevel="0" collapsed="false"/>
    <row r="2529" customFormat="false" ht="16" hidden="false" customHeight="true" outlineLevel="0" collapsed="false"/>
    <row r="2530" customFormat="false" ht="16" hidden="false" customHeight="true" outlineLevel="0" collapsed="false"/>
    <row r="2531" customFormat="false" ht="16" hidden="false" customHeight="true" outlineLevel="0" collapsed="false"/>
    <row r="2532" customFormat="false" ht="16" hidden="false" customHeight="true" outlineLevel="0" collapsed="false"/>
    <row r="2533" customFormat="false" ht="16" hidden="false" customHeight="true" outlineLevel="0" collapsed="false"/>
    <row r="2534" customFormat="false" ht="16" hidden="false" customHeight="true" outlineLevel="0" collapsed="false"/>
    <row r="2535" customFormat="false" ht="16" hidden="false" customHeight="true" outlineLevel="0" collapsed="false"/>
    <row r="2536" customFormat="false" ht="16" hidden="false" customHeight="true" outlineLevel="0" collapsed="false"/>
    <row r="2537" customFormat="false" ht="16" hidden="false" customHeight="true" outlineLevel="0" collapsed="false"/>
    <row r="2538" customFormat="false" ht="16" hidden="false" customHeight="true" outlineLevel="0" collapsed="false"/>
    <row r="2539" customFormat="false" ht="16" hidden="false" customHeight="true" outlineLevel="0" collapsed="false"/>
    <row r="2540" customFormat="false" ht="16" hidden="false" customHeight="true" outlineLevel="0" collapsed="false"/>
    <row r="2541" customFormat="false" ht="16" hidden="false" customHeight="true" outlineLevel="0" collapsed="false"/>
    <row r="2542" customFormat="false" ht="16" hidden="false" customHeight="true" outlineLevel="0" collapsed="false"/>
    <row r="2543" customFormat="false" ht="16" hidden="false" customHeight="true" outlineLevel="0" collapsed="false"/>
    <row r="2544" customFormat="false" ht="16" hidden="false" customHeight="true" outlineLevel="0" collapsed="false"/>
    <row r="2545" customFormat="false" ht="16" hidden="false" customHeight="true" outlineLevel="0" collapsed="false"/>
    <row r="2546" customFormat="false" ht="16" hidden="false" customHeight="true" outlineLevel="0" collapsed="false"/>
    <row r="2547" customFormat="false" ht="16" hidden="false" customHeight="true" outlineLevel="0" collapsed="false"/>
    <row r="2548" customFormat="false" ht="16" hidden="false" customHeight="true" outlineLevel="0" collapsed="false"/>
    <row r="2549" customFormat="false" ht="16" hidden="false" customHeight="true" outlineLevel="0" collapsed="false"/>
    <row r="2550" customFormat="false" ht="16" hidden="false" customHeight="true" outlineLevel="0" collapsed="false"/>
    <row r="2551" customFormat="false" ht="16" hidden="false" customHeight="true" outlineLevel="0" collapsed="false"/>
    <row r="2552" customFormat="false" ht="16" hidden="false" customHeight="true" outlineLevel="0" collapsed="false"/>
    <row r="2553" customFormat="false" ht="16" hidden="false" customHeight="true" outlineLevel="0" collapsed="false"/>
    <row r="2554" customFormat="false" ht="16" hidden="false" customHeight="true" outlineLevel="0" collapsed="false"/>
    <row r="2555" customFormat="false" ht="16" hidden="false" customHeight="true" outlineLevel="0" collapsed="false"/>
    <row r="2556" customFormat="false" ht="16" hidden="false" customHeight="true" outlineLevel="0" collapsed="false"/>
    <row r="2557" customFormat="false" ht="16" hidden="false" customHeight="true" outlineLevel="0" collapsed="false"/>
    <row r="2558" customFormat="false" ht="16" hidden="false" customHeight="true" outlineLevel="0" collapsed="false"/>
    <row r="2559" customFormat="false" ht="16" hidden="false" customHeight="true" outlineLevel="0" collapsed="false"/>
    <row r="2560" customFormat="false" ht="16" hidden="false" customHeight="true" outlineLevel="0" collapsed="false"/>
    <row r="2561" customFormat="false" ht="16" hidden="false" customHeight="true" outlineLevel="0" collapsed="false"/>
    <row r="2562" customFormat="false" ht="16" hidden="false" customHeight="true" outlineLevel="0" collapsed="false"/>
    <row r="2563" customFormat="false" ht="16" hidden="false" customHeight="true" outlineLevel="0" collapsed="false"/>
    <row r="2564" customFormat="false" ht="16" hidden="false" customHeight="true" outlineLevel="0" collapsed="false"/>
    <row r="2565" customFormat="false" ht="16" hidden="false" customHeight="true" outlineLevel="0" collapsed="false"/>
    <row r="2566" customFormat="false" ht="16" hidden="false" customHeight="true" outlineLevel="0" collapsed="false"/>
    <row r="2567" customFormat="false" ht="16" hidden="false" customHeight="true" outlineLevel="0" collapsed="false"/>
    <row r="2568" customFormat="false" ht="16" hidden="false" customHeight="true" outlineLevel="0" collapsed="false"/>
    <row r="2569" customFormat="false" ht="16" hidden="false" customHeight="true" outlineLevel="0" collapsed="false"/>
    <row r="2570" customFormat="false" ht="16" hidden="false" customHeight="true" outlineLevel="0" collapsed="false"/>
    <row r="2571" customFormat="false" ht="16" hidden="false" customHeight="true" outlineLevel="0" collapsed="false"/>
    <row r="2572" customFormat="false" ht="16" hidden="false" customHeight="true" outlineLevel="0" collapsed="false"/>
    <row r="2573" customFormat="false" ht="16" hidden="false" customHeight="true" outlineLevel="0" collapsed="false"/>
    <row r="2574" customFormat="false" ht="16" hidden="false" customHeight="true" outlineLevel="0" collapsed="false"/>
    <row r="2575" customFormat="false" ht="16" hidden="false" customHeight="true" outlineLevel="0" collapsed="false"/>
    <row r="2576" customFormat="false" ht="16" hidden="false" customHeight="true" outlineLevel="0" collapsed="false"/>
    <row r="2577" customFormat="false" ht="16" hidden="false" customHeight="true" outlineLevel="0" collapsed="false"/>
    <row r="2578" customFormat="false" ht="16" hidden="false" customHeight="true" outlineLevel="0" collapsed="false"/>
    <row r="2579" customFormat="false" ht="16" hidden="false" customHeight="true" outlineLevel="0" collapsed="false"/>
    <row r="2580" customFormat="false" ht="16" hidden="false" customHeight="true" outlineLevel="0" collapsed="false"/>
    <row r="2581" customFormat="false" ht="16" hidden="false" customHeight="true" outlineLevel="0" collapsed="false"/>
    <row r="2582" customFormat="false" ht="16" hidden="false" customHeight="true" outlineLevel="0" collapsed="false"/>
    <row r="2583" customFormat="false" ht="16" hidden="false" customHeight="true" outlineLevel="0" collapsed="false"/>
    <row r="2584" customFormat="false" ht="16" hidden="false" customHeight="true" outlineLevel="0" collapsed="false"/>
    <row r="2585" customFormat="false" ht="16" hidden="false" customHeight="true" outlineLevel="0" collapsed="false"/>
    <row r="2586" customFormat="false" ht="16" hidden="false" customHeight="true" outlineLevel="0" collapsed="false"/>
    <row r="2587" customFormat="false" ht="16" hidden="false" customHeight="true" outlineLevel="0" collapsed="false"/>
    <row r="2588" customFormat="false" ht="16" hidden="false" customHeight="true" outlineLevel="0" collapsed="false"/>
    <row r="2589" customFormat="false" ht="16" hidden="false" customHeight="true" outlineLevel="0" collapsed="false"/>
    <row r="2590" customFormat="false" ht="16" hidden="false" customHeight="true" outlineLevel="0" collapsed="false"/>
    <row r="2591" customFormat="false" ht="16" hidden="false" customHeight="true" outlineLevel="0" collapsed="false"/>
    <row r="2592" customFormat="false" ht="16" hidden="false" customHeight="true" outlineLevel="0" collapsed="false"/>
    <row r="2593" customFormat="false" ht="16" hidden="false" customHeight="true" outlineLevel="0" collapsed="false"/>
    <row r="2594" customFormat="false" ht="16" hidden="false" customHeight="true" outlineLevel="0" collapsed="false"/>
    <row r="2595" customFormat="false" ht="16" hidden="false" customHeight="true" outlineLevel="0" collapsed="false"/>
    <row r="2596" customFormat="false" ht="16" hidden="false" customHeight="true" outlineLevel="0" collapsed="false"/>
    <row r="2597" customFormat="false" ht="16" hidden="false" customHeight="true" outlineLevel="0" collapsed="false"/>
    <row r="2598" customFormat="false" ht="16" hidden="false" customHeight="true" outlineLevel="0" collapsed="false"/>
    <row r="2599" customFormat="false" ht="16" hidden="false" customHeight="true" outlineLevel="0" collapsed="false"/>
    <row r="2600" customFormat="false" ht="16" hidden="false" customHeight="true" outlineLevel="0" collapsed="false"/>
    <row r="2601" customFormat="false" ht="16" hidden="false" customHeight="true" outlineLevel="0" collapsed="false"/>
    <row r="2602" customFormat="false" ht="16" hidden="false" customHeight="true" outlineLevel="0" collapsed="false"/>
    <row r="2603" customFormat="false" ht="16" hidden="false" customHeight="true" outlineLevel="0" collapsed="false"/>
    <row r="2604" customFormat="false" ht="16" hidden="false" customHeight="true" outlineLevel="0" collapsed="false"/>
    <row r="2605" customFormat="false" ht="16" hidden="false" customHeight="true" outlineLevel="0" collapsed="false"/>
    <row r="2606" customFormat="false" ht="16" hidden="false" customHeight="true" outlineLevel="0" collapsed="false"/>
    <row r="2607" customFormat="false" ht="16" hidden="false" customHeight="true" outlineLevel="0" collapsed="false"/>
    <row r="2608" customFormat="false" ht="16" hidden="false" customHeight="true" outlineLevel="0" collapsed="false"/>
    <row r="2609" customFormat="false" ht="16" hidden="false" customHeight="true" outlineLevel="0" collapsed="false"/>
    <row r="2610" customFormat="false" ht="16" hidden="false" customHeight="true" outlineLevel="0" collapsed="false"/>
    <row r="2611" customFormat="false" ht="16" hidden="false" customHeight="true" outlineLevel="0" collapsed="false"/>
    <row r="2612" customFormat="false" ht="16" hidden="false" customHeight="true" outlineLevel="0" collapsed="false"/>
    <row r="2613" customFormat="false" ht="16" hidden="false" customHeight="true" outlineLevel="0" collapsed="false"/>
    <row r="2614" customFormat="false" ht="16" hidden="false" customHeight="true" outlineLevel="0" collapsed="false"/>
    <row r="2615" customFormat="false" ht="16" hidden="false" customHeight="true" outlineLevel="0" collapsed="false"/>
    <row r="2616" customFormat="false" ht="16" hidden="false" customHeight="true" outlineLevel="0" collapsed="false"/>
    <row r="2617" customFormat="false" ht="16" hidden="false" customHeight="true" outlineLevel="0" collapsed="false"/>
    <row r="2618" customFormat="false" ht="16" hidden="false" customHeight="true" outlineLevel="0" collapsed="false"/>
    <row r="2619" customFormat="false" ht="16" hidden="false" customHeight="true" outlineLevel="0" collapsed="false"/>
    <row r="2620" customFormat="false" ht="16" hidden="false" customHeight="true" outlineLevel="0" collapsed="false"/>
    <row r="2621" customFormat="false" ht="16" hidden="false" customHeight="true" outlineLevel="0" collapsed="false"/>
    <row r="2622" customFormat="false" ht="16" hidden="false" customHeight="true" outlineLevel="0" collapsed="false"/>
    <row r="2623" customFormat="false" ht="16" hidden="false" customHeight="true" outlineLevel="0" collapsed="false"/>
    <row r="2624" customFormat="false" ht="16" hidden="false" customHeight="true" outlineLevel="0" collapsed="false"/>
    <row r="2625" customFormat="false" ht="16" hidden="false" customHeight="true" outlineLevel="0" collapsed="false"/>
    <row r="2626" customFormat="false" ht="16" hidden="false" customHeight="true" outlineLevel="0" collapsed="false"/>
    <row r="2627" customFormat="false" ht="16" hidden="false" customHeight="true" outlineLevel="0" collapsed="false"/>
    <row r="2628" customFormat="false" ht="16" hidden="false" customHeight="true" outlineLevel="0" collapsed="false"/>
    <row r="2629" customFormat="false" ht="16" hidden="false" customHeight="true" outlineLevel="0" collapsed="false"/>
    <row r="2630" customFormat="false" ht="16" hidden="false" customHeight="true" outlineLevel="0" collapsed="false"/>
    <row r="2631" customFormat="false" ht="16" hidden="false" customHeight="true" outlineLevel="0" collapsed="false"/>
    <row r="2632" customFormat="false" ht="16" hidden="false" customHeight="true" outlineLevel="0" collapsed="false"/>
    <row r="2633" customFormat="false" ht="16" hidden="false" customHeight="true" outlineLevel="0" collapsed="false"/>
    <row r="2634" customFormat="false" ht="16" hidden="false" customHeight="true" outlineLevel="0" collapsed="false"/>
    <row r="2635" customFormat="false" ht="16" hidden="false" customHeight="true" outlineLevel="0" collapsed="false"/>
    <row r="2636" customFormat="false" ht="16" hidden="false" customHeight="true" outlineLevel="0" collapsed="false"/>
    <row r="2637" customFormat="false" ht="16" hidden="false" customHeight="true" outlineLevel="0" collapsed="false"/>
    <row r="2638" customFormat="false" ht="16" hidden="false" customHeight="true" outlineLevel="0" collapsed="false"/>
    <row r="2639" customFormat="false" ht="16" hidden="false" customHeight="true" outlineLevel="0" collapsed="false"/>
    <row r="2640" customFormat="false" ht="16" hidden="false" customHeight="true" outlineLevel="0" collapsed="false"/>
    <row r="2641" customFormat="false" ht="16" hidden="false" customHeight="true" outlineLevel="0" collapsed="false"/>
    <row r="2642" customFormat="false" ht="16" hidden="false" customHeight="true" outlineLevel="0" collapsed="false"/>
    <row r="2643" customFormat="false" ht="16" hidden="false" customHeight="true" outlineLevel="0" collapsed="false"/>
    <row r="2644" customFormat="false" ht="16" hidden="false" customHeight="true" outlineLevel="0" collapsed="false"/>
    <row r="2645" customFormat="false" ht="16" hidden="false" customHeight="true" outlineLevel="0" collapsed="false"/>
    <row r="2646" customFormat="false" ht="16" hidden="false" customHeight="true" outlineLevel="0" collapsed="false"/>
    <row r="2647" customFormat="false" ht="16" hidden="false" customHeight="true" outlineLevel="0" collapsed="false"/>
    <row r="2648" customFormat="false" ht="16" hidden="false" customHeight="true" outlineLevel="0" collapsed="false"/>
    <row r="2649" customFormat="false" ht="16" hidden="false" customHeight="true" outlineLevel="0" collapsed="false"/>
    <row r="2650" customFormat="false" ht="16" hidden="false" customHeight="true" outlineLevel="0" collapsed="false"/>
    <row r="2651" customFormat="false" ht="16" hidden="false" customHeight="true" outlineLevel="0" collapsed="false"/>
    <row r="2652" customFormat="false" ht="16" hidden="false" customHeight="true" outlineLevel="0" collapsed="false"/>
    <row r="2653" customFormat="false" ht="16" hidden="false" customHeight="true" outlineLevel="0" collapsed="false"/>
    <row r="2654" customFormat="false" ht="16" hidden="false" customHeight="true" outlineLevel="0" collapsed="false"/>
    <row r="2655" customFormat="false" ht="16" hidden="false" customHeight="true" outlineLevel="0" collapsed="false"/>
    <row r="2656" customFormat="false" ht="16" hidden="false" customHeight="true" outlineLevel="0" collapsed="false"/>
    <row r="2657" customFormat="false" ht="16" hidden="false" customHeight="true" outlineLevel="0" collapsed="false"/>
    <row r="2658" customFormat="false" ht="16" hidden="false" customHeight="true" outlineLevel="0" collapsed="false"/>
    <row r="2659" customFormat="false" ht="16" hidden="false" customHeight="true" outlineLevel="0" collapsed="false"/>
    <row r="2660" customFormat="false" ht="16" hidden="false" customHeight="true" outlineLevel="0" collapsed="false"/>
    <row r="2661" customFormat="false" ht="16" hidden="false" customHeight="true" outlineLevel="0" collapsed="false"/>
    <row r="2662" customFormat="false" ht="16" hidden="false" customHeight="true" outlineLevel="0" collapsed="false"/>
    <row r="2663" customFormat="false" ht="16" hidden="false" customHeight="true" outlineLevel="0" collapsed="false"/>
    <row r="2664" customFormat="false" ht="16" hidden="false" customHeight="true" outlineLevel="0" collapsed="false"/>
    <row r="2665" customFormat="false" ht="16" hidden="false" customHeight="true" outlineLevel="0" collapsed="false"/>
    <row r="2666" customFormat="false" ht="16" hidden="false" customHeight="true" outlineLevel="0" collapsed="false"/>
    <row r="2667" customFormat="false" ht="16" hidden="false" customHeight="true" outlineLevel="0" collapsed="false"/>
    <row r="2668" customFormat="false" ht="16" hidden="false" customHeight="true" outlineLevel="0" collapsed="false"/>
    <row r="2669" customFormat="false" ht="16" hidden="false" customHeight="true" outlineLevel="0" collapsed="false"/>
    <row r="2670" customFormat="false" ht="16" hidden="false" customHeight="true" outlineLevel="0" collapsed="false"/>
    <row r="2671" customFormat="false" ht="16" hidden="false" customHeight="true" outlineLevel="0" collapsed="false"/>
    <row r="2672" customFormat="false" ht="16" hidden="false" customHeight="true" outlineLevel="0" collapsed="false"/>
    <row r="2673" customFormat="false" ht="16" hidden="false" customHeight="true" outlineLevel="0" collapsed="false"/>
    <row r="2674" customFormat="false" ht="16" hidden="false" customHeight="true" outlineLevel="0" collapsed="false"/>
    <row r="2675" customFormat="false" ht="16" hidden="false" customHeight="true" outlineLevel="0" collapsed="false"/>
    <row r="2676" customFormat="false" ht="16" hidden="false" customHeight="true" outlineLevel="0" collapsed="false"/>
    <row r="2677" customFormat="false" ht="16" hidden="false" customHeight="true" outlineLevel="0" collapsed="false"/>
    <row r="2678" customFormat="false" ht="16" hidden="false" customHeight="true" outlineLevel="0" collapsed="false"/>
    <row r="2679" customFormat="false" ht="16" hidden="false" customHeight="true" outlineLevel="0" collapsed="false"/>
    <row r="2680" customFormat="false" ht="16" hidden="false" customHeight="true" outlineLevel="0" collapsed="false"/>
    <row r="2681" customFormat="false" ht="16" hidden="false" customHeight="true" outlineLevel="0" collapsed="false"/>
    <row r="2682" customFormat="false" ht="16" hidden="false" customHeight="true" outlineLevel="0" collapsed="false"/>
    <row r="2683" customFormat="false" ht="16" hidden="false" customHeight="true" outlineLevel="0" collapsed="false"/>
    <row r="2684" customFormat="false" ht="16" hidden="false" customHeight="true" outlineLevel="0" collapsed="false"/>
    <row r="2685" customFormat="false" ht="16" hidden="false" customHeight="true" outlineLevel="0" collapsed="false"/>
    <row r="2686" customFormat="false" ht="16" hidden="false" customHeight="true" outlineLevel="0" collapsed="false"/>
    <row r="2687" customFormat="false" ht="16" hidden="false" customHeight="true" outlineLevel="0" collapsed="false"/>
    <row r="2688" customFormat="false" ht="16" hidden="false" customHeight="true" outlineLevel="0" collapsed="false"/>
    <row r="2689" customFormat="false" ht="16" hidden="false" customHeight="true" outlineLevel="0" collapsed="false"/>
    <row r="2690" customFormat="false" ht="16" hidden="false" customHeight="true" outlineLevel="0" collapsed="false"/>
    <row r="2691" customFormat="false" ht="16" hidden="false" customHeight="true" outlineLevel="0" collapsed="false"/>
    <row r="2692" customFormat="false" ht="16" hidden="false" customHeight="true" outlineLevel="0" collapsed="false"/>
    <row r="2693" customFormat="false" ht="16" hidden="false" customHeight="true" outlineLevel="0" collapsed="false"/>
    <row r="2694" customFormat="false" ht="16" hidden="false" customHeight="true" outlineLevel="0" collapsed="false"/>
    <row r="2695" customFormat="false" ht="16" hidden="false" customHeight="true" outlineLevel="0" collapsed="false"/>
    <row r="2696" customFormat="false" ht="16" hidden="false" customHeight="true" outlineLevel="0" collapsed="false"/>
    <row r="2697" customFormat="false" ht="16" hidden="false" customHeight="true" outlineLevel="0" collapsed="false"/>
    <row r="2698" customFormat="false" ht="16" hidden="false" customHeight="true" outlineLevel="0" collapsed="false"/>
    <row r="2699" customFormat="false" ht="16" hidden="false" customHeight="true" outlineLevel="0" collapsed="false"/>
    <row r="2700" customFormat="false" ht="16" hidden="false" customHeight="true" outlineLevel="0" collapsed="false"/>
    <row r="2701" customFormat="false" ht="16" hidden="false" customHeight="true" outlineLevel="0" collapsed="false"/>
    <row r="2702" customFormat="false" ht="16" hidden="false" customHeight="true" outlineLevel="0" collapsed="false"/>
    <row r="2703" customFormat="false" ht="16" hidden="false" customHeight="true" outlineLevel="0" collapsed="false"/>
    <row r="2704" customFormat="false" ht="16" hidden="false" customHeight="true" outlineLevel="0" collapsed="false"/>
    <row r="2705" customFormat="false" ht="16" hidden="false" customHeight="true" outlineLevel="0" collapsed="false"/>
    <row r="2706" customFormat="false" ht="16" hidden="false" customHeight="true" outlineLevel="0" collapsed="false"/>
    <row r="2707" customFormat="false" ht="16" hidden="false" customHeight="true" outlineLevel="0" collapsed="false"/>
    <row r="2708" customFormat="false" ht="16" hidden="false" customHeight="true" outlineLevel="0" collapsed="false"/>
    <row r="2709" customFormat="false" ht="16" hidden="false" customHeight="true" outlineLevel="0" collapsed="false"/>
    <row r="2710" customFormat="false" ht="16" hidden="false" customHeight="true" outlineLevel="0" collapsed="false"/>
    <row r="2711" customFormat="false" ht="16" hidden="false" customHeight="true" outlineLevel="0" collapsed="false"/>
    <row r="2712" customFormat="false" ht="16" hidden="false" customHeight="true" outlineLevel="0" collapsed="false"/>
    <row r="2713" customFormat="false" ht="16" hidden="false" customHeight="true" outlineLevel="0" collapsed="false"/>
    <row r="2714" customFormat="false" ht="16" hidden="false" customHeight="true" outlineLevel="0" collapsed="false"/>
    <row r="2715" customFormat="false" ht="16" hidden="false" customHeight="true" outlineLevel="0" collapsed="false"/>
    <row r="2716" customFormat="false" ht="16" hidden="false" customHeight="true" outlineLevel="0" collapsed="false"/>
    <row r="2717" customFormat="false" ht="16" hidden="false" customHeight="true" outlineLevel="0" collapsed="false"/>
    <row r="2718" customFormat="false" ht="16" hidden="false" customHeight="true" outlineLevel="0" collapsed="false"/>
    <row r="2719" customFormat="false" ht="16" hidden="false" customHeight="true" outlineLevel="0" collapsed="false"/>
    <row r="2720" customFormat="false" ht="16" hidden="false" customHeight="true" outlineLevel="0" collapsed="false"/>
    <row r="2721" customFormat="false" ht="16" hidden="false" customHeight="true" outlineLevel="0" collapsed="false"/>
    <row r="2722" customFormat="false" ht="16" hidden="false" customHeight="true" outlineLevel="0" collapsed="false"/>
    <row r="2723" customFormat="false" ht="16" hidden="false" customHeight="true" outlineLevel="0" collapsed="false"/>
    <row r="2724" customFormat="false" ht="16" hidden="false" customHeight="true" outlineLevel="0" collapsed="false"/>
    <row r="2725" customFormat="false" ht="16" hidden="false" customHeight="true" outlineLevel="0" collapsed="false"/>
    <row r="2726" customFormat="false" ht="16" hidden="false" customHeight="true" outlineLevel="0" collapsed="false"/>
    <row r="2727" customFormat="false" ht="16" hidden="false" customHeight="true" outlineLevel="0" collapsed="false"/>
    <row r="2728" customFormat="false" ht="16" hidden="false" customHeight="true" outlineLevel="0" collapsed="false"/>
    <row r="2729" customFormat="false" ht="16" hidden="false" customHeight="true" outlineLevel="0" collapsed="false"/>
    <row r="2730" customFormat="false" ht="16" hidden="false" customHeight="true" outlineLevel="0" collapsed="false"/>
    <row r="2731" customFormat="false" ht="16" hidden="false" customHeight="true" outlineLevel="0" collapsed="false"/>
    <row r="2732" customFormat="false" ht="16" hidden="false" customHeight="true" outlineLevel="0" collapsed="false"/>
    <row r="2733" customFormat="false" ht="16" hidden="false" customHeight="true" outlineLevel="0" collapsed="false"/>
    <row r="2734" customFormat="false" ht="16" hidden="false" customHeight="true" outlineLevel="0" collapsed="false"/>
    <row r="2735" customFormat="false" ht="16" hidden="false" customHeight="true" outlineLevel="0" collapsed="false"/>
    <row r="2736" customFormat="false" ht="16" hidden="false" customHeight="true" outlineLevel="0" collapsed="false"/>
    <row r="2737" customFormat="false" ht="16" hidden="false" customHeight="true" outlineLevel="0" collapsed="false"/>
    <row r="2738" customFormat="false" ht="16" hidden="false" customHeight="true" outlineLevel="0" collapsed="false"/>
    <row r="2739" customFormat="false" ht="16" hidden="false" customHeight="true" outlineLevel="0" collapsed="false"/>
    <row r="2740" customFormat="false" ht="16" hidden="false" customHeight="true" outlineLevel="0" collapsed="false"/>
    <row r="2741" customFormat="false" ht="16" hidden="false" customHeight="true" outlineLevel="0" collapsed="false"/>
    <row r="2742" customFormat="false" ht="16" hidden="false" customHeight="true" outlineLevel="0" collapsed="false"/>
    <row r="2743" customFormat="false" ht="16" hidden="false" customHeight="true" outlineLevel="0" collapsed="false"/>
    <row r="2744" customFormat="false" ht="16" hidden="false" customHeight="true" outlineLevel="0" collapsed="false"/>
    <row r="2745" customFormat="false" ht="16" hidden="false" customHeight="true" outlineLevel="0" collapsed="false"/>
    <row r="2746" customFormat="false" ht="16" hidden="false" customHeight="true" outlineLevel="0" collapsed="false"/>
    <row r="2747" customFormat="false" ht="16" hidden="false" customHeight="true" outlineLevel="0" collapsed="false"/>
    <row r="2748" customFormat="false" ht="16" hidden="false" customHeight="true" outlineLevel="0" collapsed="false"/>
    <row r="2749" customFormat="false" ht="16" hidden="false" customHeight="true" outlineLevel="0" collapsed="false"/>
    <row r="2750" customFormat="false" ht="16" hidden="false" customHeight="true" outlineLevel="0" collapsed="false"/>
    <row r="2751" customFormat="false" ht="16" hidden="false" customHeight="true" outlineLevel="0" collapsed="false"/>
    <row r="2752" customFormat="false" ht="16" hidden="false" customHeight="true" outlineLevel="0" collapsed="false"/>
    <row r="2753" customFormat="false" ht="16" hidden="false" customHeight="true" outlineLevel="0" collapsed="false"/>
    <row r="2754" customFormat="false" ht="16" hidden="false" customHeight="true" outlineLevel="0" collapsed="false"/>
    <row r="2755" customFormat="false" ht="16" hidden="false" customHeight="true" outlineLevel="0" collapsed="false"/>
    <row r="2756" customFormat="false" ht="16" hidden="false" customHeight="true" outlineLevel="0" collapsed="false"/>
    <row r="2757" customFormat="false" ht="16" hidden="false" customHeight="true" outlineLevel="0" collapsed="false"/>
    <row r="2758" customFormat="false" ht="16" hidden="false" customHeight="true" outlineLevel="0" collapsed="false"/>
    <row r="2759" customFormat="false" ht="16" hidden="false" customHeight="true" outlineLevel="0" collapsed="false"/>
    <row r="2760" customFormat="false" ht="16" hidden="false" customHeight="true" outlineLevel="0" collapsed="false"/>
    <row r="2761" customFormat="false" ht="16" hidden="false" customHeight="true" outlineLevel="0" collapsed="false"/>
    <row r="2762" customFormat="false" ht="16" hidden="false" customHeight="true" outlineLevel="0" collapsed="false"/>
    <row r="2763" customFormat="false" ht="16" hidden="false" customHeight="true" outlineLevel="0" collapsed="false"/>
    <row r="2764" customFormat="false" ht="16" hidden="false" customHeight="true" outlineLevel="0" collapsed="false"/>
    <row r="2765" customFormat="false" ht="16" hidden="false" customHeight="true" outlineLevel="0" collapsed="false"/>
    <row r="2766" customFormat="false" ht="16" hidden="false" customHeight="true" outlineLevel="0" collapsed="false"/>
    <row r="2767" customFormat="false" ht="16" hidden="false" customHeight="true" outlineLevel="0" collapsed="false"/>
    <row r="2768" customFormat="false" ht="16" hidden="false" customHeight="true" outlineLevel="0" collapsed="false"/>
    <row r="2769" customFormat="false" ht="16" hidden="false" customHeight="true" outlineLevel="0" collapsed="false"/>
    <row r="2770" customFormat="false" ht="16" hidden="false" customHeight="true" outlineLevel="0" collapsed="false"/>
    <row r="2771" customFormat="false" ht="16" hidden="false" customHeight="true" outlineLevel="0" collapsed="false"/>
    <row r="2772" customFormat="false" ht="16" hidden="false" customHeight="true" outlineLevel="0" collapsed="false"/>
    <row r="2773" customFormat="false" ht="16" hidden="false" customHeight="true" outlineLevel="0" collapsed="false"/>
    <row r="2774" customFormat="false" ht="16" hidden="false" customHeight="true" outlineLevel="0" collapsed="false"/>
    <row r="2775" customFormat="false" ht="16" hidden="false" customHeight="true" outlineLevel="0" collapsed="false"/>
    <row r="2776" customFormat="false" ht="16" hidden="false" customHeight="true" outlineLevel="0" collapsed="false"/>
    <row r="2777" customFormat="false" ht="16" hidden="false" customHeight="true" outlineLevel="0" collapsed="false"/>
    <row r="2778" customFormat="false" ht="16" hidden="false" customHeight="true" outlineLevel="0" collapsed="false"/>
    <row r="2779" customFormat="false" ht="16" hidden="false" customHeight="true" outlineLevel="0" collapsed="false"/>
    <row r="2780" customFormat="false" ht="16" hidden="false" customHeight="true" outlineLevel="0" collapsed="false"/>
    <row r="2781" customFormat="false" ht="16" hidden="false" customHeight="true" outlineLevel="0" collapsed="false"/>
    <row r="2782" customFormat="false" ht="16" hidden="false" customHeight="true" outlineLevel="0" collapsed="false"/>
    <row r="2783" customFormat="false" ht="16" hidden="false" customHeight="true" outlineLevel="0" collapsed="false"/>
    <row r="2784" customFormat="false" ht="16" hidden="false" customHeight="true" outlineLevel="0" collapsed="false"/>
    <row r="2785" customFormat="false" ht="16" hidden="false" customHeight="true" outlineLevel="0" collapsed="false"/>
    <row r="2786" customFormat="false" ht="16" hidden="false" customHeight="true" outlineLevel="0" collapsed="false"/>
    <row r="2787" customFormat="false" ht="16" hidden="false" customHeight="true" outlineLevel="0" collapsed="false"/>
    <row r="2788" customFormat="false" ht="16" hidden="false" customHeight="true" outlineLevel="0" collapsed="false"/>
    <row r="2789" customFormat="false" ht="16" hidden="false" customHeight="true" outlineLevel="0" collapsed="false"/>
    <row r="2790" customFormat="false" ht="16" hidden="false" customHeight="true" outlineLevel="0" collapsed="false"/>
    <row r="2791" customFormat="false" ht="16" hidden="false" customHeight="true" outlineLevel="0" collapsed="false"/>
    <row r="2792" customFormat="false" ht="16" hidden="false" customHeight="true" outlineLevel="0" collapsed="false"/>
    <row r="2793" customFormat="false" ht="16" hidden="false" customHeight="true" outlineLevel="0" collapsed="false"/>
    <row r="2794" customFormat="false" ht="16" hidden="false" customHeight="true" outlineLevel="0" collapsed="false"/>
    <row r="2795" customFormat="false" ht="16" hidden="false" customHeight="true" outlineLevel="0" collapsed="false"/>
    <row r="2796" customFormat="false" ht="16" hidden="false" customHeight="true" outlineLevel="0" collapsed="false"/>
    <row r="2797" customFormat="false" ht="16" hidden="false" customHeight="true" outlineLevel="0" collapsed="false"/>
    <row r="2798" customFormat="false" ht="16" hidden="false" customHeight="true" outlineLevel="0" collapsed="false"/>
    <row r="2799" customFormat="false" ht="16" hidden="false" customHeight="true" outlineLevel="0" collapsed="false"/>
    <row r="2800" customFormat="false" ht="16" hidden="false" customHeight="true" outlineLevel="0" collapsed="false"/>
    <row r="2801" customFormat="false" ht="16" hidden="false" customHeight="true" outlineLevel="0" collapsed="false"/>
    <row r="2802" customFormat="false" ht="16" hidden="false" customHeight="true" outlineLevel="0" collapsed="false"/>
    <row r="2803" customFormat="false" ht="16" hidden="false" customHeight="true" outlineLevel="0" collapsed="false"/>
    <row r="2804" customFormat="false" ht="16" hidden="false" customHeight="true" outlineLevel="0" collapsed="false"/>
    <row r="2805" customFormat="false" ht="16" hidden="false" customHeight="true" outlineLevel="0" collapsed="false"/>
    <row r="2806" customFormat="false" ht="16" hidden="false" customHeight="true" outlineLevel="0" collapsed="false"/>
    <row r="2807" customFormat="false" ht="16" hidden="false" customHeight="true" outlineLevel="0" collapsed="false"/>
    <row r="2808" customFormat="false" ht="16" hidden="false" customHeight="true" outlineLevel="0" collapsed="false"/>
    <row r="2809" customFormat="false" ht="16" hidden="false" customHeight="true" outlineLevel="0" collapsed="false"/>
    <row r="2810" customFormat="false" ht="16" hidden="false" customHeight="true" outlineLevel="0" collapsed="false"/>
    <row r="2811" customFormat="false" ht="16" hidden="false" customHeight="true" outlineLevel="0" collapsed="false"/>
    <row r="2812" customFormat="false" ht="16" hidden="false" customHeight="true" outlineLevel="0" collapsed="false"/>
    <row r="2813" customFormat="false" ht="16" hidden="false" customHeight="true" outlineLevel="0" collapsed="false"/>
    <row r="2814" customFormat="false" ht="16" hidden="false" customHeight="true" outlineLevel="0" collapsed="false"/>
    <row r="2815" customFormat="false" ht="16" hidden="false" customHeight="true" outlineLevel="0" collapsed="false"/>
    <row r="2816" customFormat="false" ht="16" hidden="false" customHeight="true" outlineLevel="0" collapsed="false"/>
    <row r="2817" customFormat="false" ht="16" hidden="false" customHeight="true" outlineLevel="0" collapsed="false"/>
    <row r="2818" customFormat="false" ht="16" hidden="false" customHeight="true" outlineLevel="0" collapsed="false"/>
    <row r="2819" customFormat="false" ht="16" hidden="false" customHeight="true" outlineLevel="0" collapsed="false"/>
    <row r="2820" customFormat="false" ht="16" hidden="false" customHeight="true" outlineLevel="0" collapsed="false"/>
    <row r="2821" customFormat="false" ht="16" hidden="false" customHeight="true" outlineLevel="0" collapsed="false"/>
    <row r="2822" customFormat="false" ht="16" hidden="false" customHeight="true" outlineLevel="0" collapsed="false"/>
    <row r="2823" customFormat="false" ht="16" hidden="false" customHeight="true" outlineLevel="0" collapsed="false"/>
    <row r="2824" customFormat="false" ht="16" hidden="false" customHeight="true" outlineLevel="0" collapsed="false"/>
    <row r="2825" customFormat="false" ht="16" hidden="false" customHeight="true" outlineLevel="0" collapsed="false"/>
    <row r="2826" customFormat="false" ht="16" hidden="false" customHeight="true" outlineLevel="0" collapsed="false"/>
    <row r="2827" customFormat="false" ht="16" hidden="false" customHeight="true" outlineLevel="0" collapsed="false"/>
    <row r="2828" customFormat="false" ht="16" hidden="false" customHeight="true" outlineLevel="0" collapsed="false"/>
    <row r="2829" customFormat="false" ht="16" hidden="false" customHeight="true" outlineLevel="0" collapsed="false"/>
    <row r="2830" customFormat="false" ht="16" hidden="false" customHeight="true" outlineLevel="0" collapsed="false"/>
    <row r="2831" customFormat="false" ht="16" hidden="false" customHeight="true" outlineLevel="0" collapsed="false"/>
    <row r="2832" customFormat="false" ht="16" hidden="false" customHeight="true" outlineLevel="0" collapsed="false"/>
    <row r="2833" customFormat="false" ht="16" hidden="false" customHeight="true" outlineLevel="0" collapsed="false"/>
    <row r="2834" customFormat="false" ht="16" hidden="false" customHeight="true" outlineLevel="0" collapsed="false"/>
    <row r="2835" customFormat="false" ht="16" hidden="false" customHeight="true" outlineLevel="0" collapsed="false"/>
    <row r="2836" customFormat="false" ht="16" hidden="false" customHeight="true" outlineLevel="0" collapsed="false"/>
    <row r="2837" customFormat="false" ht="16" hidden="false" customHeight="true" outlineLevel="0" collapsed="false"/>
    <row r="2838" customFormat="false" ht="16" hidden="false" customHeight="true" outlineLevel="0" collapsed="false"/>
    <row r="2839" customFormat="false" ht="16" hidden="false" customHeight="true" outlineLevel="0" collapsed="false"/>
    <row r="2840" customFormat="false" ht="16" hidden="false" customHeight="true" outlineLevel="0" collapsed="false"/>
    <row r="2841" customFormat="false" ht="16" hidden="false" customHeight="true" outlineLevel="0" collapsed="false"/>
    <row r="2842" customFormat="false" ht="16" hidden="false" customHeight="true" outlineLevel="0" collapsed="false"/>
    <row r="2843" customFormat="false" ht="16" hidden="false" customHeight="true" outlineLevel="0" collapsed="false"/>
    <row r="2844" customFormat="false" ht="16" hidden="false" customHeight="true" outlineLevel="0" collapsed="false"/>
    <row r="2845" customFormat="false" ht="16" hidden="false" customHeight="true" outlineLevel="0" collapsed="false"/>
    <row r="2846" customFormat="false" ht="16" hidden="false" customHeight="true" outlineLevel="0" collapsed="false"/>
    <row r="2847" customFormat="false" ht="16" hidden="false" customHeight="true" outlineLevel="0" collapsed="false"/>
    <row r="2848" customFormat="false" ht="16" hidden="false" customHeight="true" outlineLevel="0" collapsed="false"/>
    <row r="2849" customFormat="false" ht="16" hidden="false" customHeight="true" outlineLevel="0" collapsed="false"/>
    <row r="2850" customFormat="false" ht="16" hidden="false" customHeight="true" outlineLevel="0" collapsed="false"/>
    <row r="2851" customFormat="false" ht="16" hidden="false" customHeight="true" outlineLevel="0" collapsed="false"/>
    <row r="2852" customFormat="false" ht="16" hidden="false" customHeight="true" outlineLevel="0" collapsed="false"/>
    <row r="2853" customFormat="false" ht="16" hidden="false" customHeight="true" outlineLevel="0" collapsed="false"/>
    <row r="2854" customFormat="false" ht="16" hidden="false" customHeight="true" outlineLevel="0" collapsed="false"/>
    <row r="2855" customFormat="false" ht="16" hidden="false" customHeight="true" outlineLevel="0" collapsed="false"/>
    <row r="2856" customFormat="false" ht="16" hidden="false" customHeight="true" outlineLevel="0" collapsed="false"/>
    <row r="2857" customFormat="false" ht="16" hidden="false" customHeight="true" outlineLevel="0" collapsed="false"/>
    <row r="2858" customFormat="false" ht="16" hidden="false" customHeight="true" outlineLevel="0" collapsed="false"/>
    <row r="2859" customFormat="false" ht="16" hidden="false" customHeight="true" outlineLevel="0" collapsed="false"/>
    <row r="2860" customFormat="false" ht="16" hidden="false" customHeight="true" outlineLevel="0" collapsed="false"/>
    <row r="2861" customFormat="false" ht="16" hidden="false" customHeight="true" outlineLevel="0" collapsed="false"/>
    <row r="2862" customFormat="false" ht="16" hidden="false" customHeight="true" outlineLevel="0" collapsed="false"/>
    <row r="2863" customFormat="false" ht="16" hidden="false" customHeight="true" outlineLevel="0" collapsed="false"/>
    <row r="2864" customFormat="false" ht="16" hidden="false" customHeight="true" outlineLevel="0" collapsed="false"/>
    <row r="2865" customFormat="false" ht="16" hidden="false" customHeight="true" outlineLevel="0" collapsed="false"/>
    <row r="2866" customFormat="false" ht="16" hidden="false" customHeight="true" outlineLevel="0" collapsed="false"/>
    <row r="2867" customFormat="false" ht="16" hidden="false" customHeight="true" outlineLevel="0" collapsed="false"/>
    <row r="2868" customFormat="false" ht="16" hidden="false" customHeight="true" outlineLevel="0" collapsed="false"/>
    <row r="2869" customFormat="false" ht="16" hidden="false" customHeight="true" outlineLevel="0" collapsed="false"/>
    <row r="2870" customFormat="false" ht="16" hidden="false" customHeight="true" outlineLevel="0" collapsed="false"/>
    <row r="2871" customFormat="false" ht="16" hidden="false" customHeight="true" outlineLevel="0" collapsed="false"/>
    <row r="2872" customFormat="false" ht="16" hidden="false" customHeight="true" outlineLevel="0" collapsed="false"/>
    <row r="2873" customFormat="false" ht="16" hidden="false" customHeight="true" outlineLevel="0" collapsed="false"/>
    <row r="2874" customFormat="false" ht="16" hidden="false" customHeight="true" outlineLevel="0" collapsed="false"/>
    <row r="2875" customFormat="false" ht="16" hidden="false" customHeight="true" outlineLevel="0" collapsed="false"/>
    <row r="2876" customFormat="false" ht="16" hidden="false" customHeight="true" outlineLevel="0" collapsed="false"/>
    <row r="2877" customFormat="false" ht="16" hidden="false" customHeight="true" outlineLevel="0" collapsed="false"/>
    <row r="2878" customFormat="false" ht="16" hidden="false" customHeight="true" outlineLevel="0" collapsed="false"/>
    <row r="2879" customFormat="false" ht="16" hidden="false" customHeight="true" outlineLevel="0" collapsed="false"/>
    <row r="2880" customFormat="false" ht="16" hidden="false" customHeight="true" outlineLevel="0" collapsed="false"/>
    <row r="2881" customFormat="false" ht="16" hidden="false" customHeight="true" outlineLevel="0" collapsed="false"/>
    <row r="2882" customFormat="false" ht="16" hidden="false" customHeight="true" outlineLevel="0" collapsed="false"/>
    <row r="2883" customFormat="false" ht="16" hidden="false" customHeight="true" outlineLevel="0" collapsed="false"/>
    <row r="2884" customFormat="false" ht="16" hidden="false" customHeight="true" outlineLevel="0" collapsed="false"/>
    <row r="2885" customFormat="false" ht="16" hidden="false" customHeight="true" outlineLevel="0" collapsed="false"/>
    <row r="2886" customFormat="false" ht="16" hidden="false" customHeight="true" outlineLevel="0" collapsed="false"/>
    <row r="2887" customFormat="false" ht="16" hidden="false" customHeight="true" outlineLevel="0" collapsed="false"/>
    <row r="2888" customFormat="false" ht="16" hidden="false" customHeight="true" outlineLevel="0" collapsed="false"/>
    <row r="2889" customFormat="false" ht="16" hidden="false" customHeight="true" outlineLevel="0" collapsed="false"/>
    <row r="2890" customFormat="false" ht="16" hidden="false" customHeight="true" outlineLevel="0" collapsed="false"/>
    <row r="2891" customFormat="false" ht="16" hidden="false" customHeight="true" outlineLevel="0" collapsed="false"/>
    <row r="2892" customFormat="false" ht="16" hidden="false" customHeight="true" outlineLevel="0" collapsed="false"/>
    <row r="2893" customFormat="false" ht="16" hidden="false" customHeight="true" outlineLevel="0" collapsed="false"/>
    <row r="2894" customFormat="false" ht="16" hidden="false" customHeight="true" outlineLevel="0" collapsed="false"/>
    <row r="2895" customFormat="false" ht="16" hidden="false" customHeight="true" outlineLevel="0" collapsed="false"/>
    <row r="2896" customFormat="false" ht="16" hidden="false" customHeight="true" outlineLevel="0" collapsed="false"/>
    <row r="2897" customFormat="false" ht="16" hidden="false" customHeight="true" outlineLevel="0" collapsed="false"/>
    <row r="2898" customFormat="false" ht="16" hidden="false" customHeight="true" outlineLevel="0" collapsed="false"/>
    <row r="2899" customFormat="false" ht="16" hidden="false" customHeight="true" outlineLevel="0" collapsed="false"/>
    <row r="2900" customFormat="false" ht="16" hidden="false" customHeight="true" outlineLevel="0" collapsed="false"/>
    <row r="2901" customFormat="false" ht="16" hidden="false" customHeight="true" outlineLevel="0" collapsed="false"/>
    <row r="2902" customFormat="false" ht="16" hidden="false" customHeight="true" outlineLevel="0" collapsed="false"/>
    <row r="2903" customFormat="false" ht="16" hidden="false" customHeight="true" outlineLevel="0" collapsed="false"/>
    <row r="2904" customFormat="false" ht="16" hidden="false" customHeight="true" outlineLevel="0" collapsed="false"/>
    <row r="2905" customFormat="false" ht="16" hidden="false" customHeight="true" outlineLevel="0" collapsed="false"/>
    <row r="2906" customFormat="false" ht="16" hidden="false" customHeight="true" outlineLevel="0" collapsed="false"/>
    <row r="2907" customFormat="false" ht="16" hidden="false" customHeight="true" outlineLevel="0" collapsed="false"/>
    <row r="2908" customFormat="false" ht="16" hidden="false" customHeight="true" outlineLevel="0" collapsed="false"/>
    <row r="2909" customFormat="false" ht="16" hidden="false" customHeight="true" outlineLevel="0" collapsed="false"/>
    <row r="2910" customFormat="false" ht="16" hidden="false" customHeight="true" outlineLevel="0" collapsed="false"/>
    <row r="2911" customFormat="false" ht="16" hidden="false" customHeight="true" outlineLevel="0" collapsed="false"/>
    <row r="2912" customFormat="false" ht="16" hidden="false" customHeight="true" outlineLevel="0" collapsed="false"/>
    <row r="2913" customFormat="false" ht="16" hidden="false" customHeight="true" outlineLevel="0" collapsed="false"/>
    <row r="2914" customFormat="false" ht="16" hidden="false" customHeight="true" outlineLevel="0" collapsed="false"/>
    <row r="2915" customFormat="false" ht="16" hidden="false" customHeight="true" outlineLevel="0" collapsed="false"/>
    <row r="2916" customFormat="false" ht="16" hidden="false" customHeight="true" outlineLevel="0" collapsed="false"/>
    <row r="2917" customFormat="false" ht="16" hidden="false" customHeight="true" outlineLevel="0" collapsed="false"/>
    <row r="2918" customFormat="false" ht="16" hidden="false" customHeight="true" outlineLevel="0" collapsed="false"/>
    <row r="2919" customFormat="false" ht="16" hidden="false" customHeight="true" outlineLevel="0" collapsed="false"/>
    <row r="2920" customFormat="false" ht="16" hidden="false" customHeight="true" outlineLevel="0" collapsed="false"/>
    <row r="2921" customFormat="false" ht="16" hidden="false" customHeight="true" outlineLevel="0" collapsed="false"/>
    <row r="2922" customFormat="false" ht="16" hidden="false" customHeight="true" outlineLevel="0" collapsed="false"/>
    <row r="2923" customFormat="false" ht="16" hidden="false" customHeight="true" outlineLevel="0" collapsed="false"/>
    <row r="2924" customFormat="false" ht="16" hidden="false" customHeight="true" outlineLevel="0" collapsed="false"/>
    <row r="2925" customFormat="false" ht="16" hidden="false" customHeight="true" outlineLevel="0" collapsed="false"/>
    <row r="2926" customFormat="false" ht="16" hidden="false" customHeight="true" outlineLevel="0" collapsed="false"/>
    <row r="2927" customFormat="false" ht="16" hidden="false" customHeight="true" outlineLevel="0" collapsed="false"/>
    <row r="2928" customFormat="false" ht="16" hidden="false" customHeight="true" outlineLevel="0" collapsed="false"/>
    <row r="2929" customFormat="false" ht="16" hidden="false" customHeight="true" outlineLevel="0" collapsed="false"/>
    <row r="2930" customFormat="false" ht="16" hidden="false" customHeight="true" outlineLevel="0" collapsed="false"/>
    <row r="2931" customFormat="false" ht="16" hidden="false" customHeight="true" outlineLevel="0" collapsed="false"/>
    <row r="2932" customFormat="false" ht="16" hidden="false" customHeight="true" outlineLevel="0" collapsed="false"/>
    <row r="2933" customFormat="false" ht="16" hidden="false" customHeight="true" outlineLevel="0" collapsed="false"/>
    <row r="2934" customFormat="false" ht="16" hidden="false" customHeight="true" outlineLevel="0" collapsed="false"/>
    <row r="2935" customFormat="false" ht="16" hidden="false" customHeight="true" outlineLevel="0" collapsed="false"/>
    <row r="2936" customFormat="false" ht="16" hidden="false" customHeight="true" outlineLevel="0" collapsed="false"/>
    <row r="2937" customFormat="false" ht="16" hidden="false" customHeight="true" outlineLevel="0" collapsed="false"/>
    <row r="2938" customFormat="false" ht="16" hidden="false" customHeight="true" outlineLevel="0" collapsed="false"/>
    <row r="2939" customFormat="false" ht="16" hidden="false" customHeight="true" outlineLevel="0" collapsed="false"/>
    <row r="2940" customFormat="false" ht="16" hidden="false" customHeight="true" outlineLevel="0" collapsed="false"/>
    <row r="2941" customFormat="false" ht="16" hidden="false" customHeight="true" outlineLevel="0" collapsed="false"/>
    <row r="2942" customFormat="false" ht="16" hidden="false" customHeight="true" outlineLevel="0" collapsed="false"/>
    <row r="2943" customFormat="false" ht="16" hidden="false" customHeight="true" outlineLevel="0" collapsed="false"/>
    <row r="2944" customFormat="false" ht="16" hidden="false" customHeight="true" outlineLevel="0" collapsed="false"/>
    <row r="2945" customFormat="false" ht="16" hidden="false" customHeight="true" outlineLevel="0" collapsed="false"/>
    <row r="2946" customFormat="false" ht="16" hidden="false" customHeight="true" outlineLevel="0" collapsed="false"/>
    <row r="2947" customFormat="false" ht="16" hidden="false" customHeight="true" outlineLevel="0" collapsed="false"/>
    <row r="2948" customFormat="false" ht="16" hidden="false" customHeight="true" outlineLevel="0" collapsed="false"/>
    <row r="2949" customFormat="false" ht="16" hidden="false" customHeight="true" outlineLevel="0" collapsed="false"/>
    <row r="2950" customFormat="false" ht="16" hidden="false" customHeight="true" outlineLevel="0" collapsed="false"/>
    <row r="2951" customFormat="false" ht="16" hidden="false" customHeight="true" outlineLevel="0" collapsed="false"/>
    <row r="2952" customFormat="false" ht="16" hidden="false" customHeight="true" outlineLevel="0" collapsed="false"/>
    <row r="2953" customFormat="false" ht="16" hidden="false" customHeight="true" outlineLevel="0" collapsed="false"/>
    <row r="2954" customFormat="false" ht="16" hidden="false" customHeight="true" outlineLevel="0" collapsed="false"/>
    <row r="2955" customFormat="false" ht="16" hidden="false" customHeight="true" outlineLevel="0" collapsed="false"/>
    <row r="2956" customFormat="false" ht="16" hidden="false" customHeight="true" outlineLevel="0" collapsed="false"/>
    <row r="2957" customFormat="false" ht="16" hidden="false" customHeight="true" outlineLevel="0" collapsed="false"/>
    <row r="2958" customFormat="false" ht="16" hidden="false" customHeight="true" outlineLevel="0" collapsed="false"/>
    <row r="2959" customFormat="false" ht="16" hidden="false" customHeight="true" outlineLevel="0" collapsed="false"/>
    <row r="2960" customFormat="false" ht="16" hidden="false" customHeight="true" outlineLevel="0" collapsed="false"/>
    <row r="2961" customFormat="false" ht="16" hidden="false" customHeight="true" outlineLevel="0" collapsed="false"/>
    <row r="2962" customFormat="false" ht="16" hidden="false" customHeight="true" outlineLevel="0" collapsed="false"/>
    <row r="2963" customFormat="false" ht="16" hidden="false" customHeight="true" outlineLevel="0" collapsed="false"/>
    <row r="2964" customFormat="false" ht="16" hidden="false" customHeight="true" outlineLevel="0" collapsed="false"/>
    <row r="2965" customFormat="false" ht="16" hidden="false" customHeight="true" outlineLevel="0" collapsed="false"/>
    <row r="2966" customFormat="false" ht="16" hidden="false" customHeight="true" outlineLevel="0" collapsed="false"/>
    <row r="2967" customFormat="false" ht="16" hidden="false" customHeight="true" outlineLevel="0" collapsed="false"/>
    <row r="2968" customFormat="false" ht="16" hidden="false" customHeight="true" outlineLevel="0" collapsed="false"/>
    <row r="2969" customFormat="false" ht="16" hidden="false" customHeight="true" outlineLevel="0" collapsed="false"/>
    <row r="2970" customFormat="false" ht="16" hidden="false" customHeight="true" outlineLevel="0" collapsed="false"/>
    <row r="2971" customFormat="false" ht="16" hidden="false" customHeight="true" outlineLevel="0" collapsed="false"/>
    <row r="2972" customFormat="false" ht="16" hidden="false" customHeight="true" outlineLevel="0" collapsed="false"/>
    <row r="2973" customFormat="false" ht="16" hidden="false" customHeight="true" outlineLevel="0" collapsed="false"/>
    <row r="2974" customFormat="false" ht="16" hidden="false" customHeight="true" outlineLevel="0" collapsed="false"/>
    <row r="2975" customFormat="false" ht="16" hidden="false" customHeight="true" outlineLevel="0" collapsed="false"/>
    <row r="2976" customFormat="false" ht="16" hidden="false" customHeight="true" outlineLevel="0" collapsed="false"/>
    <row r="2977" customFormat="false" ht="16" hidden="false" customHeight="true" outlineLevel="0" collapsed="false"/>
    <row r="2978" customFormat="false" ht="16" hidden="false" customHeight="true" outlineLevel="0" collapsed="false"/>
    <row r="2979" customFormat="false" ht="16" hidden="false" customHeight="true" outlineLevel="0" collapsed="false"/>
    <row r="2980" customFormat="false" ht="16" hidden="false" customHeight="true" outlineLevel="0" collapsed="false"/>
    <row r="2981" customFormat="false" ht="16" hidden="false" customHeight="true" outlineLevel="0" collapsed="false"/>
    <row r="2982" customFormat="false" ht="16" hidden="false" customHeight="true" outlineLevel="0" collapsed="false"/>
    <row r="2983" customFormat="false" ht="16" hidden="false" customHeight="true" outlineLevel="0" collapsed="false"/>
    <row r="2984" customFormat="false" ht="16" hidden="false" customHeight="true" outlineLevel="0" collapsed="false"/>
    <row r="2985" customFormat="false" ht="16" hidden="false" customHeight="true" outlineLevel="0" collapsed="false"/>
    <row r="2986" customFormat="false" ht="16" hidden="false" customHeight="true" outlineLevel="0" collapsed="false"/>
    <row r="2987" customFormat="false" ht="16" hidden="false" customHeight="true" outlineLevel="0" collapsed="false"/>
    <row r="2988" customFormat="false" ht="16" hidden="false" customHeight="true" outlineLevel="0" collapsed="false"/>
    <row r="2989" customFormat="false" ht="16" hidden="false" customHeight="true" outlineLevel="0" collapsed="false"/>
    <row r="2990" customFormat="false" ht="16" hidden="false" customHeight="true" outlineLevel="0" collapsed="false"/>
    <row r="2991" customFormat="false" ht="16" hidden="false" customHeight="true" outlineLevel="0" collapsed="false"/>
    <row r="2992" customFormat="false" ht="16" hidden="false" customHeight="true" outlineLevel="0" collapsed="false"/>
    <row r="2993" customFormat="false" ht="16" hidden="false" customHeight="true" outlineLevel="0" collapsed="false"/>
    <row r="2994" customFormat="false" ht="16" hidden="false" customHeight="true" outlineLevel="0" collapsed="false"/>
    <row r="2995" customFormat="false" ht="16" hidden="false" customHeight="true" outlineLevel="0" collapsed="false"/>
    <row r="2996" customFormat="false" ht="16" hidden="false" customHeight="true" outlineLevel="0" collapsed="false"/>
    <row r="2997" customFormat="false" ht="16" hidden="false" customHeight="true" outlineLevel="0" collapsed="false"/>
    <row r="2998" customFormat="false" ht="16" hidden="false" customHeight="true" outlineLevel="0" collapsed="false"/>
    <row r="2999" customFormat="false" ht="16" hidden="false" customHeight="true" outlineLevel="0" collapsed="false"/>
    <row r="3000" customFormat="false" ht="16" hidden="false" customHeight="true" outlineLevel="0" collapsed="false"/>
    <row r="3001" customFormat="false" ht="16" hidden="false" customHeight="true" outlineLevel="0" collapsed="false"/>
    <row r="3002" customFormat="false" ht="16" hidden="false" customHeight="true" outlineLevel="0" collapsed="false"/>
    <row r="3003" customFormat="false" ht="16" hidden="false" customHeight="true" outlineLevel="0" collapsed="false"/>
    <row r="3004" customFormat="false" ht="16" hidden="false" customHeight="true" outlineLevel="0" collapsed="false"/>
    <row r="3005" customFormat="false" ht="16" hidden="false" customHeight="true" outlineLevel="0" collapsed="false"/>
    <row r="3006" customFormat="false" ht="16" hidden="false" customHeight="true" outlineLevel="0" collapsed="false"/>
    <row r="3007" customFormat="false" ht="16" hidden="false" customHeight="true" outlineLevel="0" collapsed="false"/>
    <row r="3008" customFormat="false" ht="16" hidden="false" customHeight="true" outlineLevel="0" collapsed="false"/>
    <row r="3009" customFormat="false" ht="16" hidden="false" customHeight="true" outlineLevel="0" collapsed="false"/>
    <row r="3010" customFormat="false" ht="16" hidden="false" customHeight="true" outlineLevel="0" collapsed="false"/>
    <row r="3011" customFormat="false" ht="16" hidden="false" customHeight="true" outlineLevel="0" collapsed="false"/>
    <row r="3012" customFormat="false" ht="16" hidden="false" customHeight="true" outlineLevel="0" collapsed="false"/>
    <row r="3013" customFormat="false" ht="16" hidden="false" customHeight="true" outlineLevel="0" collapsed="false"/>
    <row r="3014" customFormat="false" ht="16" hidden="false" customHeight="true" outlineLevel="0" collapsed="false"/>
    <row r="3015" customFormat="false" ht="16" hidden="false" customHeight="true" outlineLevel="0" collapsed="false"/>
    <row r="3016" customFormat="false" ht="16" hidden="false" customHeight="true" outlineLevel="0" collapsed="false"/>
    <row r="3017" customFormat="false" ht="16" hidden="false" customHeight="true" outlineLevel="0" collapsed="false"/>
    <row r="3018" customFormat="false" ht="16" hidden="false" customHeight="true" outlineLevel="0" collapsed="false"/>
    <row r="3019" customFormat="false" ht="16" hidden="false" customHeight="true" outlineLevel="0" collapsed="false"/>
    <row r="3020" customFormat="false" ht="16" hidden="false" customHeight="true" outlineLevel="0" collapsed="false"/>
    <row r="3021" customFormat="false" ht="16" hidden="false" customHeight="true" outlineLevel="0" collapsed="false"/>
    <row r="3022" customFormat="false" ht="16" hidden="false" customHeight="true" outlineLevel="0" collapsed="false"/>
    <row r="3023" customFormat="false" ht="16" hidden="false" customHeight="true" outlineLevel="0" collapsed="false"/>
    <row r="3024" customFormat="false" ht="16" hidden="false" customHeight="true" outlineLevel="0" collapsed="false"/>
    <row r="3025" customFormat="false" ht="16" hidden="false" customHeight="true" outlineLevel="0" collapsed="false"/>
    <row r="3026" customFormat="false" ht="16" hidden="false" customHeight="true" outlineLevel="0" collapsed="false"/>
    <row r="3027" customFormat="false" ht="16" hidden="false" customHeight="true" outlineLevel="0" collapsed="false"/>
    <row r="3028" customFormat="false" ht="16" hidden="false" customHeight="true" outlineLevel="0" collapsed="false"/>
    <row r="3029" customFormat="false" ht="16" hidden="false" customHeight="true" outlineLevel="0" collapsed="false"/>
    <row r="3030" customFormat="false" ht="16" hidden="false" customHeight="true" outlineLevel="0" collapsed="false"/>
    <row r="3031" customFormat="false" ht="16" hidden="false" customHeight="true" outlineLevel="0" collapsed="false"/>
    <row r="3032" customFormat="false" ht="16" hidden="false" customHeight="true" outlineLevel="0" collapsed="false"/>
    <row r="3033" customFormat="false" ht="16" hidden="false" customHeight="true" outlineLevel="0" collapsed="false"/>
    <row r="3034" customFormat="false" ht="16" hidden="false" customHeight="true" outlineLevel="0" collapsed="false"/>
    <row r="3035" customFormat="false" ht="16" hidden="false" customHeight="true" outlineLevel="0" collapsed="false"/>
    <row r="3036" customFormat="false" ht="16" hidden="false" customHeight="true" outlineLevel="0" collapsed="false"/>
    <row r="3037" customFormat="false" ht="16" hidden="false" customHeight="true" outlineLevel="0" collapsed="false"/>
    <row r="3038" customFormat="false" ht="16" hidden="false" customHeight="true" outlineLevel="0" collapsed="false"/>
    <row r="3039" customFormat="false" ht="16" hidden="false" customHeight="true" outlineLevel="0" collapsed="false"/>
    <row r="3040" customFormat="false" ht="16" hidden="false" customHeight="true" outlineLevel="0" collapsed="false"/>
    <row r="3041" customFormat="false" ht="16" hidden="false" customHeight="true" outlineLevel="0" collapsed="false"/>
    <row r="3042" customFormat="false" ht="16" hidden="false" customHeight="true" outlineLevel="0" collapsed="false"/>
    <row r="3043" customFormat="false" ht="16" hidden="false" customHeight="true" outlineLevel="0" collapsed="false"/>
    <row r="3044" customFormat="false" ht="16" hidden="false" customHeight="true" outlineLevel="0" collapsed="false"/>
    <row r="3045" customFormat="false" ht="16" hidden="false" customHeight="true" outlineLevel="0" collapsed="false"/>
    <row r="3046" customFormat="false" ht="16" hidden="false" customHeight="true" outlineLevel="0" collapsed="false"/>
    <row r="3047" customFormat="false" ht="16" hidden="false" customHeight="true" outlineLevel="0" collapsed="false"/>
    <row r="3048" customFormat="false" ht="16" hidden="false" customHeight="true" outlineLevel="0" collapsed="false"/>
    <row r="3049" customFormat="false" ht="16" hidden="false" customHeight="true" outlineLevel="0" collapsed="false"/>
    <row r="3050" customFormat="false" ht="16" hidden="false" customHeight="true" outlineLevel="0" collapsed="false"/>
    <row r="3051" customFormat="false" ht="16" hidden="false" customHeight="true" outlineLevel="0" collapsed="false"/>
    <row r="3052" customFormat="false" ht="16" hidden="false" customHeight="true" outlineLevel="0" collapsed="false"/>
    <row r="3053" customFormat="false" ht="16" hidden="false" customHeight="true" outlineLevel="0" collapsed="false"/>
    <row r="3054" customFormat="false" ht="16" hidden="false" customHeight="true" outlineLevel="0" collapsed="false"/>
    <row r="3055" customFormat="false" ht="16" hidden="false" customHeight="true" outlineLevel="0" collapsed="false"/>
    <row r="3056" customFormat="false" ht="16" hidden="false" customHeight="true" outlineLevel="0" collapsed="false"/>
    <row r="3057" customFormat="false" ht="16" hidden="false" customHeight="true" outlineLevel="0" collapsed="false"/>
    <row r="3058" customFormat="false" ht="16" hidden="false" customHeight="true" outlineLevel="0" collapsed="false"/>
    <row r="3059" customFormat="false" ht="16" hidden="false" customHeight="true" outlineLevel="0" collapsed="false"/>
    <row r="3060" customFormat="false" ht="16" hidden="false" customHeight="true" outlineLevel="0" collapsed="false"/>
    <row r="3061" customFormat="false" ht="16" hidden="false" customHeight="true" outlineLevel="0" collapsed="false"/>
    <row r="3062" customFormat="false" ht="16" hidden="false" customHeight="true" outlineLevel="0" collapsed="false"/>
    <row r="3063" customFormat="false" ht="16" hidden="false" customHeight="true" outlineLevel="0" collapsed="false"/>
    <row r="3064" customFormat="false" ht="16" hidden="false" customHeight="true" outlineLevel="0" collapsed="false"/>
    <row r="3065" customFormat="false" ht="16" hidden="false" customHeight="true" outlineLevel="0" collapsed="false"/>
    <row r="3066" customFormat="false" ht="16" hidden="false" customHeight="true" outlineLevel="0" collapsed="false"/>
    <row r="3067" customFormat="false" ht="16" hidden="false" customHeight="true" outlineLevel="0" collapsed="false"/>
    <row r="3068" customFormat="false" ht="16" hidden="false" customHeight="true" outlineLevel="0" collapsed="false"/>
    <row r="3069" customFormat="false" ht="16" hidden="false" customHeight="true" outlineLevel="0" collapsed="false"/>
    <row r="3070" customFormat="false" ht="16" hidden="false" customHeight="true" outlineLevel="0" collapsed="false"/>
    <row r="3071" customFormat="false" ht="16" hidden="false" customHeight="true" outlineLevel="0" collapsed="false"/>
    <row r="3072" customFormat="false" ht="16" hidden="false" customHeight="true" outlineLevel="0" collapsed="false"/>
    <row r="3073" customFormat="false" ht="16" hidden="false" customHeight="true" outlineLevel="0" collapsed="false"/>
    <row r="3074" customFormat="false" ht="16" hidden="false" customHeight="true" outlineLevel="0" collapsed="false"/>
    <row r="3075" customFormat="false" ht="16" hidden="false" customHeight="true" outlineLevel="0" collapsed="false"/>
    <row r="3076" customFormat="false" ht="16" hidden="false" customHeight="true" outlineLevel="0" collapsed="false"/>
    <row r="3077" customFormat="false" ht="16" hidden="false" customHeight="true" outlineLevel="0" collapsed="false"/>
    <row r="3078" customFormat="false" ht="16" hidden="false" customHeight="true" outlineLevel="0" collapsed="false"/>
    <row r="3079" customFormat="false" ht="16" hidden="false" customHeight="true" outlineLevel="0" collapsed="false"/>
    <row r="3080" customFormat="false" ht="16" hidden="false" customHeight="true" outlineLevel="0" collapsed="false"/>
    <row r="3081" customFormat="false" ht="16" hidden="false" customHeight="true" outlineLevel="0" collapsed="false"/>
    <row r="3082" customFormat="false" ht="16" hidden="false" customHeight="true" outlineLevel="0" collapsed="false"/>
    <row r="3083" customFormat="false" ht="16" hidden="false" customHeight="true" outlineLevel="0" collapsed="false"/>
    <row r="3084" customFormat="false" ht="16" hidden="false" customHeight="true" outlineLevel="0" collapsed="false"/>
    <row r="3085" customFormat="false" ht="16" hidden="false" customHeight="true" outlineLevel="0" collapsed="false"/>
    <row r="3086" customFormat="false" ht="16" hidden="false" customHeight="true" outlineLevel="0" collapsed="false"/>
    <row r="3087" customFormat="false" ht="16" hidden="false" customHeight="true" outlineLevel="0" collapsed="false"/>
    <row r="3088" customFormat="false" ht="16" hidden="false" customHeight="true" outlineLevel="0" collapsed="false"/>
    <row r="3089" customFormat="false" ht="16" hidden="false" customHeight="true" outlineLevel="0" collapsed="false"/>
    <row r="3090" customFormat="false" ht="16" hidden="false" customHeight="true" outlineLevel="0" collapsed="false"/>
    <row r="3091" customFormat="false" ht="16" hidden="false" customHeight="true" outlineLevel="0" collapsed="false"/>
    <row r="3092" customFormat="false" ht="16" hidden="false" customHeight="true" outlineLevel="0" collapsed="false"/>
    <row r="3093" customFormat="false" ht="16" hidden="false" customHeight="true" outlineLevel="0" collapsed="false"/>
    <row r="3094" customFormat="false" ht="16" hidden="false" customHeight="true" outlineLevel="0" collapsed="false"/>
    <row r="3095" customFormat="false" ht="16" hidden="false" customHeight="true" outlineLevel="0" collapsed="false"/>
    <row r="3096" customFormat="false" ht="16" hidden="false" customHeight="true" outlineLevel="0" collapsed="false"/>
    <row r="3097" customFormat="false" ht="16" hidden="false" customHeight="true" outlineLevel="0" collapsed="false"/>
    <row r="3098" customFormat="false" ht="16" hidden="false" customHeight="true" outlineLevel="0" collapsed="false"/>
    <row r="3099" customFormat="false" ht="16" hidden="false" customHeight="true" outlineLevel="0" collapsed="false"/>
    <row r="3100" customFormat="false" ht="16" hidden="false" customHeight="true" outlineLevel="0" collapsed="false"/>
    <row r="3101" customFormat="false" ht="16" hidden="false" customHeight="true" outlineLevel="0" collapsed="false"/>
    <row r="3102" customFormat="false" ht="16" hidden="false" customHeight="true" outlineLevel="0" collapsed="false"/>
    <row r="3103" customFormat="false" ht="16" hidden="false" customHeight="true" outlineLevel="0" collapsed="false"/>
    <row r="3104" customFormat="false" ht="16" hidden="false" customHeight="true" outlineLevel="0" collapsed="false"/>
    <row r="3105" customFormat="false" ht="16" hidden="false" customHeight="true" outlineLevel="0" collapsed="false"/>
    <row r="3106" customFormat="false" ht="16" hidden="false" customHeight="true" outlineLevel="0" collapsed="false"/>
    <row r="3107" customFormat="false" ht="16" hidden="false" customHeight="true" outlineLevel="0" collapsed="false"/>
    <row r="3108" customFormat="false" ht="16" hidden="false" customHeight="true" outlineLevel="0" collapsed="false"/>
    <row r="3109" customFormat="false" ht="16" hidden="false" customHeight="true" outlineLevel="0" collapsed="false"/>
    <row r="3110" customFormat="false" ht="16" hidden="false" customHeight="true" outlineLevel="0" collapsed="false"/>
    <row r="3111" customFormat="false" ht="16" hidden="false" customHeight="true" outlineLevel="0" collapsed="false"/>
    <row r="3112" customFormat="false" ht="16" hidden="false" customHeight="true" outlineLevel="0" collapsed="false"/>
    <row r="3113" customFormat="false" ht="16" hidden="false" customHeight="true" outlineLevel="0" collapsed="false"/>
    <row r="3114" customFormat="false" ht="16" hidden="false" customHeight="true" outlineLevel="0" collapsed="false"/>
    <row r="3115" customFormat="false" ht="16" hidden="false" customHeight="true" outlineLevel="0" collapsed="false"/>
    <row r="3116" customFormat="false" ht="16" hidden="false" customHeight="true" outlineLevel="0" collapsed="false"/>
    <row r="3117" customFormat="false" ht="16" hidden="false" customHeight="true" outlineLevel="0" collapsed="false"/>
    <row r="3118" customFormat="false" ht="16" hidden="false" customHeight="true" outlineLevel="0" collapsed="false"/>
    <row r="3119" customFormat="false" ht="16" hidden="false" customHeight="true" outlineLevel="0" collapsed="false"/>
    <row r="3120" customFormat="false" ht="16" hidden="false" customHeight="true" outlineLevel="0" collapsed="false"/>
    <row r="3121" customFormat="false" ht="16" hidden="false" customHeight="true" outlineLevel="0" collapsed="false"/>
    <row r="3122" customFormat="false" ht="16" hidden="false" customHeight="true" outlineLevel="0" collapsed="false"/>
    <row r="3123" customFormat="false" ht="16" hidden="false" customHeight="true" outlineLevel="0" collapsed="false"/>
    <row r="3124" customFormat="false" ht="16" hidden="false" customHeight="true" outlineLevel="0" collapsed="false"/>
    <row r="3125" customFormat="false" ht="16" hidden="false" customHeight="true" outlineLevel="0" collapsed="false"/>
    <row r="3126" customFormat="false" ht="16" hidden="false" customHeight="true" outlineLevel="0" collapsed="false"/>
    <row r="3127" customFormat="false" ht="16" hidden="false" customHeight="true" outlineLevel="0" collapsed="false"/>
    <row r="3128" customFormat="false" ht="16" hidden="false" customHeight="true" outlineLevel="0" collapsed="false"/>
    <row r="3129" customFormat="false" ht="16" hidden="false" customHeight="true" outlineLevel="0" collapsed="false"/>
    <row r="3130" customFormat="false" ht="16" hidden="false" customHeight="true" outlineLevel="0" collapsed="false"/>
    <row r="3131" customFormat="false" ht="16" hidden="false" customHeight="true" outlineLevel="0" collapsed="false"/>
    <row r="3132" customFormat="false" ht="16" hidden="false" customHeight="true" outlineLevel="0" collapsed="false"/>
    <row r="3133" customFormat="false" ht="16" hidden="false" customHeight="true" outlineLevel="0" collapsed="false"/>
    <row r="3134" customFormat="false" ht="16" hidden="false" customHeight="true" outlineLevel="0" collapsed="false"/>
    <row r="3135" customFormat="false" ht="16" hidden="false" customHeight="true" outlineLevel="0" collapsed="false"/>
    <row r="3136" customFormat="false" ht="16" hidden="false" customHeight="true" outlineLevel="0" collapsed="false"/>
    <row r="3137" customFormat="false" ht="16" hidden="false" customHeight="true" outlineLevel="0" collapsed="false"/>
    <row r="3138" customFormat="false" ht="16" hidden="false" customHeight="true" outlineLevel="0" collapsed="false"/>
    <row r="3139" customFormat="false" ht="16" hidden="false" customHeight="true" outlineLevel="0" collapsed="false"/>
    <row r="3140" customFormat="false" ht="16" hidden="false" customHeight="true" outlineLevel="0" collapsed="false"/>
    <row r="3141" customFormat="false" ht="16" hidden="false" customHeight="true" outlineLevel="0" collapsed="false"/>
    <row r="3142" customFormat="false" ht="16" hidden="false" customHeight="true" outlineLevel="0" collapsed="false"/>
    <row r="3143" customFormat="false" ht="16" hidden="false" customHeight="true" outlineLevel="0" collapsed="false"/>
    <row r="3144" customFormat="false" ht="16" hidden="false" customHeight="true" outlineLevel="0" collapsed="false"/>
    <row r="3145" customFormat="false" ht="16" hidden="false" customHeight="true" outlineLevel="0" collapsed="false"/>
    <row r="3146" customFormat="false" ht="16" hidden="false" customHeight="true" outlineLevel="0" collapsed="false"/>
    <row r="3147" customFormat="false" ht="16" hidden="false" customHeight="true" outlineLevel="0" collapsed="false"/>
    <row r="3148" customFormat="false" ht="16" hidden="false" customHeight="true" outlineLevel="0" collapsed="false"/>
    <row r="3149" customFormat="false" ht="16" hidden="false" customHeight="true" outlineLevel="0" collapsed="false"/>
    <row r="3150" customFormat="false" ht="16" hidden="false" customHeight="true" outlineLevel="0" collapsed="false"/>
    <row r="3151" customFormat="false" ht="16" hidden="false" customHeight="true" outlineLevel="0" collapsed="false"/>
    <row r="3152" customFormat="false" ht="16" hidden="false" customHeight="true" outlineLevel="0" collapsed="false"/>
    <row r="3153" customFormat="false" ht="16" hidden="false" customHeight="true" outlineLevel="0" collapsed="false"/>
    <row r="3154" customFormat="false" ht="16" hidden="false" customHeight="true" outlineLevel="0" collapsed="false"/>
    <row r="3155" customFormat="false" ht="16" hidden="false" customHeight="true" outlineLevel="0" collapsed="false"/>
    <row r="3156" customFormat="false" ht="16" hidden="false" customHeight="true" outlineLevel="0" collapsed="false"/>
    <row r="3157" customFormat="false" ht="16" hidden="false" customHeight="true" outlineLevel="0" collapsed="false"/>
    <row r="3158" customFormat="false" ht="16" hidden="false" customHeight="true" outlineLevel="0" collapsed="false"/>
    <row r="3159" customFormat="false" ht="16" hidden="false" customHeight="true" outlineLevel="0" collapsed="false"/>
    <row r="3160" customFormat="false" ht="16" hidden="false" customHeight="true" outlineLevel="0" collapsed="false"/>
    <row r="3161" customFormat="false" ht="16" hidden="false" customHeight="true" outlineLevel="0" collapsed="false"/>
    <row r="3162" customFormat="false" ht="16" hidden="false" customHeight="true" outlineLevel="0" collapsed="false"/>
    <row r="3163" customFormat="false" ht="16" hidden="false" customHeight="true" outlineLevel="0" collapsed="false"/>
    <row r="3164" customFormat="false" ht="16" hidden="false" customHeight="true" outlineLevel="0" collapsed="false"/>
    <row r="3165" customFormat="false" ht="16" hidden="false" customHeight="true" outlineLevel="0" collapsed="false"/>
    <row r="3166" customFormat="false" ht="16" hidden="false" customHeight="true" outlineLevel="0" collapsed="false"/>
    <row r="3167" customFormat="false" ht="16" hidden="false" customHeight="true" outlineLevel="0" collapsed="false"/>
    <row r="3168" customFormat="false" ht="16" hidden="false" customHeight="true" outlineLevel="0" collapsed="false"/>
    <row r="3169" customFormat="false" ht="16" hidden="false" customHeight="true" outlineLevel="0" collapsed="false"/>
    <row r="3170" customFormat="false" ht="16" hidden="false" customHeight="true" outlineLevel="0" collapsed="false"/>
    <row r="3171" customFormat="false" ht="16" hidden="false" customHeight="true" outlineLevel="0" collapsed="false"/>
    <row r="3172" customFormat="false" ht="16" hidden="false" customHeight="true" outlineLevel="0" collapsed="false"/>
    <row r="3173" customFormat="false" ht="16" hidden="false" customHeight="true" outlineLevel="0" collapsed="false"/>
    <row r="3174" customFormat="false" ht="16" hidden="false" customHeight="true" outlineLevel="0" collapsed="false"/>
    <row r="3175" customFormat="false" ht="16" hidden="false" customHeight="true" outlineLevel="0" collapsed="false"/>
    <row r="3176" customFormat="false" ht="16" hidden="false" customHeight="true" outlineLevel="0" collapsed="false"/>
    <row r="3177" customFormat="false" ht="16" hidden="false" customHeight="true" outlineLevel="0" collapsed="false"/>
    <row r="3178" customFormat="false" ht="16" hidden="false" customHeight="true" outlineLevel="0" collapsed="false"/>
    <row r="3179" customFormat="false" ht="16" hidden="false" customHeight="true" outlineLevel="0" collapsed="false"/>
    <row r="3180" customFormat="false" ht="16" hidden="false" customHeight="true" outlineLevel="0" collapsed="false"/>
    <row r="3181" customFormat="false" ht="16" hidden="false" customHeight="true" outlineLevel="0" collapsed="false"/>
    <row r="3182" customFormat="false" ht="16" hidden="false" customHeight="true" outlineLevel="0" collapsed="false"/>
    <row r="3183" customFormat="false" ht="16" hidden="false" customHeight="true" outlineLevel="0" collapsed="false"/>
    <row r="3184" customFormat="false" ht="16" hidden="false" customHeight="true" outlineLevel="0" collapsed="false"/>
    <row r="3185" customFormat="false" ht="16" hidden="false" customHeight="true" outlineLevel="0" collapsed="false"/>
    <row r="3186" customFormat="false" ht="16" hidden="false" customHeight="true" outlineLevel="0" collapsed="false"/>
    <row r="3187" customFormat="false" ht="16" hidden="false" customHeight="true" outlineLevel="0" collapsed="false"/>
    <row r="3188" customFormat="false" ht="16" hidden="false" customHeight="true" outlineLevel="0" collapsed="false"/>
    <row r="3189" customFormat="false" ht="16" hidden="false" customHeight="true" outlineLevel="0" collapsed="false"/>
    <row r="3190" customFormat="false" ht="16" hidden="false" customHeight="true" outlineLevel="0" collapsed="false"/>
    <row r="3191" customFormat="false" ht="16" hidden="false" customHeight="true" outlineLevel="0" collapsed="false"/>
    <row r="3192" customFormat="false" ht="16" hidden="false" customHeight="true" outlineLevel="0" collapsed="false"/>
    <row r="3193" customFormat="false" ht="16" hidden="false" customHeight="true" outlineLevel="0" collapsed="false"/>
    <row r="3194" customFormat="false" ht="16" hidden="false" customHeight="true" outlineLevel="0" collapsed="false"/>
    <row r="3195" customFormat="false" ht="16" hidden="false" customHeight="true" outlineLevel="0" collapsed="false"/>
    <row r="3196" customFormat="false" ht="16" hidden="false" customHeight="true" outlineLevel="0" collapsed="false"/>
    <row r="3197" customFormat="false" ht="16" hidden="false" customHeight="true" outlineLevel="0" collapsed="false"/>
    <row r="3198" customFormat="false" ht="16" hidden="false" customHeight="true" outlineLevel="0" collapsed="false"/>
    <row r="3199" customFormat="false" ht="16" hidden="false" customHeight="true" outlineLevel="0" collapsed="false"/>
    <row r="3200" customFormat="false" ht="16" hidden="false" customHeight="true" outlineLevel="0" collapsed="false"/>
    <row r="3201" customFormat="false" ht="16" hidden="false" customHeight="true" outlineLevel="0" collapsed="false"/>
    <row r="3202" customFormat="false" ht="16" hidden="false" customHeight="true" outlineLevel="0" collapsed="false"/>
    <row r="3203" customFormat="false" ht="16" hidden="false" customHeight="true" outlineLevel="0" collapsed="false"/>
    <row r="3204" customFormat="false" ht="16" hidden="false" customHeight="true" outlineLevel="0" collapsed="false"/>
    <row r="3205" customFormat="false" ht="16" hidden="false" customHeight="true" outlineLevel="0" collapsed="false"/>
    <row r="3206" customFormat="false" ht="16" hidden="false" customHeight="true" outlineLevel="0" collapsed="false"/>
    <row r="3207" customFormat="false" ht="16" hidden="false" customHeight="true" outlineLevel="0" collapsed="false"/>
    <row r="3208" customFormat="false" ht="16" hidden="false" customHeight="true" outlineLevel="0" collapsed="false"/>
    <row r="3209" customFormat="false" ht="16" hidden="false" customHeight="true" outlineLevel="0" collapsed="false"/>
    <row r="3210" customFormat="false" ht="16" hidden="false" customHeight="true" outlineLevel="0" collapsed="false"/>
    <row r="3211" customFormat="false" ht="16" hidden="false" customHeight="true" outlineLevel="0" collapsed="false"/>
    <row r="3212" customFormat="false" ht="16" hidden="false" customHeight="true" outlineLevel="0" collapsed="false"/>
    <row r="3213" customFormat="false" ht="16" hidden="false" customHeight="true" outlineLevel="0" collapsed="false"/>
    <row r="3214" customFormat="false" ht="16" hidden="false" customHeight="true" outlineLevel="0" collapsed="false"/>
    <row r="3215" customFormat="false" ht="16" hidden="false" customHeight="true" outlineLevel="0" collapsed="false"/>
    <row r="3216" customFormat="false" ht="16" hidden="false" customHeight="true" outlineLevel="0" collapsed="false"/>
    <row r="3217" customFormat="false" ht="16" hidden="false" customHeight="true" outlineLevel="0" collapsed="false"/>
    <row r="3218" customFormat="false" ht="16" hidden="false" customHeight="true" outlineLevel="0" collapsed="false"/>
    <row r="3219" customFormat="false" ht="16" hidden="false" customHeight="true" outlineLevel="0" collapsed="false"/>
    <row r="3220" customFormat="false" ht="16" hidden="false" customHeight="true" outlineLevel="0" collapsed="false"/>
    <row r="3221" customFormat="false" ht="16" hidden="false" customHeight="true" outlineLevel="0" collapsed="false"/>
    <row r="3222" customFormat="false" ht="16" hidden="false" customHeight="true" outlineLevel="0" collapsed="false"/>
    <row r="3223" customFormat="false" ht="16" hidden="false" customHeight="true" outlineLevel="0" collapsed="false"/>
    <row r="3224" customFormat="false" ht="16" hidden="false" customHeight="true" outlineLevel="0" collapsed="false"/>
    <row r="3225" customFormat="false" ht="16" hidden="false" customHeight="true" outlineLevel="0" collapsed="false"/>
    <row r="3226" customFormat="false" ht="16" hidden="false" customHeight="true" outlineLevel="0" collapsed="false"/>
    <row r="3227" customFormat="false" ht="16" hidden="false" customHeight="true" outlineLevel="0" collapsed="false"/>
    <row r="3228" customFormat="false" ht="16" hidden="false" customHeight="true" outlineLevel="0" collapsed="false"/>
    <row r="3229" customFormat="false" ht="16" hidden="false" customHeight="true" outlineLevel="0" collapsed="false"/>
    <row r="3230" customFormat="false" ht="16" hidden="false" customHeight="true" outlineLevel="0" collapsed="false"/>
    <row r="3231" customFormat="false" ht="16" hidden="false" customHeight="true" outlineLevel="0" collapsed="false"/>
    <row r="3232" customFormat="false" ht="16" hidden="false" customHeight="true" outlineLevel="0" collapsed="false"/>
    <row r="3233" customFormat="false" ht="16" hidden="false" customHeight="true" outlineLevel="0" collapsed="false"/>
    <row r="3234" customFormat="false" ht="16" hidden="false" customHeight="true" outlineLevel="0" collapsed="false"/>
    <row r="3235" customFormat="false" ht="16" hidden="false" customHeight="true" outlineLevel="0" collapsed="false"/>
    <row r="3236" customFormat="false" ht="16" hidden="false" customHeight="true" outlineLevel="0" collapsed="false"/>
    <row r="3237" customFormat="false" ht="16" hidden="false" customHeight="true" outlineLevel="0" collapsed="false"/>
    <row r="3238" customFormat="false" ht="16" hidden="false" customHeight="true" outlineLevel="0" collapsed="false"/>
    <row r="3239" customFormat="false" ht="16" hidden="false" customHeight="true" outlineLevel="0" collapsed="false"/>
    <row r="3240" customFormat="false" ht="16" hidden="false" customHeight="true" outlineLevel="0" collapsed="false"/>
    <row r="3241" customFormat="false" ht="16" hidden="false" customHeight="true" outlineLevel="0" collapsed="false"/>
    <row r="3242" customFormat="false" ht="16" hidden="false" customHeight="true" outlineLevel="0" collapsed="false"/>
    <row r="3243" customFormat="false" ht="16" hidden="false" customHeight="true" outlineLevel="0" collapsed="false"/>
    <row r="3244" customFormat="false" ht="16" hidden="false" customHeight="true" outlineLevel="0" collapsed="false"/>
    <row r="3245" customFormat="false" ht="16" hidden="false" customHeight="true" outlineLevel="0" collapsed="false"/>
    <row r="3246" customFormat="false" ht="16" hidden="false" customHeight="true" outlineLevel="0" collapsed="false"/>
    <row r="3247" customFormat="false" ht="16" hidden="false" customHeight="true" outlineLevel="0" collapsed="false"/>
    <row r="3248" customFormat="false" ht="16" hidden="false" customHeight="true" outlineLevel="0" collapsed="false"/>
    <row r="3249" customFormat="false" ht="16" hidden="false" customHeight="true" outlineLevel="0" collapsed="false"/>
    <row r="3250" customFormat="false" ht="16" hidden="false" customHeight="true" outlineLevel="0" collapsed="false"/>
    <row r="3251" customFormat="false" ht="16" hidden="false" customHeight="true" outlineLevel="0" collapsed="false"/>
    <row r="3252" customFormat="false" ht="16" hidden="false" customHeight="true" outlineLevel="0" collapsed="false"/>
    <row r="3253" customFormat="false" ht="16" hidden="false" customHeight="true" outlineLevel="0" collapsed="false"/>
    <row r="3254" customFormat="false" ht="16" hidden="false" customHeight="true" outlineLevel="0" collapsed="false"/>
    <row r="3255" customFormat="false" ht="16" hidden="false" customHeight="true" outlineLevel="0" collapsed="false"/>
    <row r="3256" customFormat="false" ht="16" hidden="false" customHeight="true" outlineLevel="0" collapsed="false"/>
    <row r="3257" customFormat="false" ht="16" hidden="false" customHeight="true" outlineLevel="0" collapsed="false"/>
    <row r="3258" customFormat="false" ht="16" hidden="false" customHeight="true" outlineLevel="0" collapsed="false"/>
    <row r="3259" customFormat="false" ht="16" hidden="false" customHeight="true" outlineLevel="0" collapsed="false"/>
    <row r="3260" customFormat="false" ht="16" hidden="false" customHeight="true" outlineLevel="0" collapsed="false"/>
    <row r="3261" customFormat="false" ht="16" hidden="false" customHeight="true" outlineLevel="0" collapsed="false"/>
    <row r="3262" customFormat="false" ht="16" hidden="false" customHeight="true" outlineLevel="0" collapsed="false"/>
    <row r="3263" customFormat="false" ht="16" hidden="false" customHeight="true" outlineLevel="0" collapsed="false"/>
    <row r="3264" customFormat="false" ht="16" hidden="false" customHeight="true" outlineLevel="0" collapsed="false"/>
    <row r="3265" customFormat="false" ht="16" hidden="false" customHeight="true" outlineLevel="0" collapsed="false"/>
    <row r="3266" customFormat="false" ht="16" hidden="false" customHeight="true" outlineLevel="0" collapsed="false"/>
    <row r="3267" customFormat="false" ht="16" hidden="false" customHeight="true" outlineLevel="0" collapsed="false"/>
    <row r="3268" customFormat="false" ht="16" hidden="false" customHeight="true" outlineLevel="0" collapsed="false"/>
    <row r="3269" customFormat="false" ht="16" hidden="false" customHeight="true" outlineLevel="0" collapsed="false"/>
    <row r="3270" customFormat="false" ht="16" hidden="false" customHeight="true" outlineLevel="0" collapsed="false"/>
    <row r="3271" customFormat="false" ht="16" hidden="false" customHeight="true" outlineLevel="0" collapsed="false"/>
    <row r="3272" customFormat="false" ht="16" hidden="false" customHeight="true" outlineLevel="0" collapsed="false"/>
    <row r="3273" customFormat="false" ht="16" hidden="false" customHeight="true" outlineLevel="0" collapsed="false"/>
    <row r="3274" customFormat="false" ht="16" hidden="false" customHeight="true" outlineLevel="0" collapsed="false"/>
    <row r="3275" customFormat="false" ht="16" hidden="false" customHeight="true" outlineLevel="0" collapsed="false"/>
    <row r="3276" customFormat="false" ht="16" hidden="false" customHeight="true" outlineLevel="0" collapsed="false"/>
    <row r="3277" customFormat="false" ht="16" hidden="false" customHeight="true" outlineLevel="0" collapsed="false"/>
    <row r="3278" customFormat="false" ht="16" hidden="false" customHeight="true" outlineLevel="0" collapsed="false"/>
    <row r="3279" customFormat="false" ht="16" hidden="false" customHeight="true" outlineLevel="0" collapsed="false"/>
    <row r="3280" customFormat="false" ht="16" hidden="false" customHeight="true" outlineLevel="0" collapsed="false"/>
  </sheetData>
  <printOptions headings="false" gridLines="false" gridLinesSet="true" horizontalCentered="false" verticalCentered="false"/>
  <pageMargins left="1" right="1" top="1.7875" bottom="1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0" min="1" style="1" width="12.97"/>
  </cols>
  <sheetData/>
  <printOptions headings="false" gridLines="false" gridLinesSet="true" horizontalCentered="false" verticalCentered="false"/>
  <pageMargins left="1" right="1" top="1.7875" bottom="1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LibreOffice/7.4.3.2$Windows_x86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2023-03-14T19:23:04Z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